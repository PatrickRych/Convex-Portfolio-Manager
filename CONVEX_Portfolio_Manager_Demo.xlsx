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fb3e444f464e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_HERE" sheetId="1" r:id="R8e880515054e49fd"/>
    <x:sheet xmlns:r="http://schemas.openxmlformats.org/officeDocument/2006/relationships" name="CONFIG" sheetId="2" r:id="R616b080984734c52"/>
    <x:sheet xmlns:r="http://schemas.openxmlformats.org/officeDocument/2006/relationships" name="Options_Journal" sheetId="3" r:id="R057a50f8b4a6455f"/>
    <x:sheet xmlns:r="http://schemas.openxmlformats.org/officeDocument/2006/relationships" name="Demo_Market_Data" sheetId="4" r:id="Rac5fb329cac344eb"/>
    <x:sheet xmlns:r="http://schemas.openxmlformats.org/officeDocument/2006/relationships" name="Option_Data_Demo" sheetId="5" r:id="R13766e56494f4264"/>
    <x:sheet xmlns:r="http://schemas.openxmlformats.org/officeDocument/2006/relationships" name="Risk_View" sheetId="6" r:id="R94a40f17adde493b"/>
    <x:sheet xmlns:r="http://schemas.openxmlformats.org/officeDocument/2006/relationships" name="Event_Dashboard" sheetId="7" r:id="R3e71aa41563143d7"/>
    <x:sheet xmlns:r="http://schemas.openxmlformats.org/officeDocument/2006/relationships" name="Positional_Analysis" sheetId="8" r:id="R74962ca16df8400c"/>
    <x:sheet xmlns:r="http://schemas.openxmlformats.org/officeDocument/2006/relationships" name="Risk_Manager" sheetId="9" r:id="R51e4ef62c9074ff6"/>
    <x:sheet xmlns:r="http://schemas.openxmlformats.org/officeDocument/2006/relationships" name="Scenario_Lab" sheetId="10" r:id="R079d3e2770f741e0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$#,##0;[Red]($#,##0);-"/>
    <x:numFmt numFmtId="201" formatCode="0.0%"/>
    <x:numFmt numFmtId="202" formatCode="yyyy-mm-dd"/>
    <x:numFmt numFmtId="203" formatCode="0.00;[Red](0.00);-"/>
    <x:numFmt numFmtId="204" formatCode="#,##0;[Red](#,##0);-"/>
    <x:numFmt numFmtId="205" formatCode="0.0"/>
    <x:numFmt numFmtId="206" formatCode="0.00"/>
    <x:numFmt numFmtId="207" formatCode="0.000"/>
    <x:numFmt numFmtId="208" formatCode="0.0%;[Red](0.0%);-"/>
    <x:numFmt numFmtId="209" formatCode="General"/>
    <x:numFmt numFmtId="210" formatCode="0"/>
    <x:numFmt numFmtId="211" formatCode="0.00x;[Red](0.00x);-"/>
    <x:numFmt numFmtId="212" formatCode="0.00x"/>
  </x:numFmts>
  <x:fonts count="10">
    <x:font>
      <x:sz val="11"/>
      <x:name val="Carlito"/>
    </x:font>
    <x:font>
      <x:b/>
      <x:sz val="20"/>
      <x:color rgb="FF4FC3F7"/>
      <x:name val="Carlito"/>
    </x:font>
    <x:font>
      <x:sz val="11"/>
      <x:color rgb="FFA8D8EA"/>
      <x:name val="Carlito"/>
    </x:font>
    <x:font>
      <x:b/>
      <x:sz val="11"/>
      <x:color rgb="FFFFFFFF"/>
      <x:name val="Carlito"/>
    </x:font>
    <x:font>
      <x:sz val="11"/>
      <x:color rgb="FFFFFFFF"/>
      <x:name val="Carlito"/>
    </x:font>
    <x:font>
      <x:b/>
      <x:sz val="11"/>
      <x:color rgb="FF4FC3F7"/>
      <x:name val="Carlito"/>
    </x:font>
    <x:font>
      <x:b/>
      <x:sz val="11"/>
      <x:color rgb="FFFFD966"/>
      <x:name val="Carlito"/>
    </x:font>
    <x:font>
      <x:sz val="11"/>
      <x:color rgb="FF66B3FF"/>
      <x:name val="Carlito"/>
    </x:font>
    <x:font>
      <x:sz val="11"/>
      <x:color rgb="FF8BA3BD"/>
      <x:name val="Carlito"/>
    </x:font>
    <x:font>
      <x:sz val="11"/>
      <x:color rgb="FF66CC8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A1929"/>
      </x:patternFill>
    </x:fill>
    <x:fill>
      <x:patternFill patternType="solid">
        <x:fgColor rgb="FF162E44"/>
      </x:patternFill>
    </x:fill>
    <x:fill>
      <x:patternFill patternType="solid">
        <x:fgColor rgb="FF0D1B2A"/>
      </x:patternFill>
    </x:fill>
    <x:fill>
      <x:patternFill patternType="solid">
        <x:fgColor rgb="FF11243A"/>
      </x:patternFill>
    </x:fill>
    <x:fill>
      <x:patternFill patternType="solid">
        <x:fgColor rgb="FF3A2A0A"/>
      </x:patternFill>
    </x:fill>
    <x:fill>
      <x:patternFill patternType="solid">
        <x:fgColor rgb="FF11243A"/>
      </x:patternFill>
    </x:fill>
    <x:fill>
      <x:patternFill patternType="solid">
        <x:fgColor rgb="FF0D1B2A"/>
      </x:patternFill>
    </x:fill>
  </x:fills>
  <x:borders count="2">
    <x:border/>
    <x:border/>
  </x:borders>
  <x:cellStyleXfs count="1">
    <x:xf numFmtId="0" fontId="0" fillId="0" borderId="0"/>
  </x:cellStyleXfs>
  <x:cellXfs count="17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vertical="center"/>
    </x:xf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/>
    </x:xf>
    <x:xf numFmtId="200" fontId="7" fillId="4" borderId="1" xfId="0" applyNumberFormat="1" applyFont="1" applyFill="1" applyBorder="1" applyAlignment="1">
      <x:alignment vertical="center"/>
    </x:xf>
    <x:xf numFmtId="201" fontId="7" fillId="4" borderId="0" xfId="0" applyNumberFormat="1" applyFont="1" applyFill="1" applyBorder="1" applyAlignment="1">
      <x:alignment vertical="center"/>
    </x:xf>
    <x:xf numFmtId="201" fontId="7" fillId="4" borderId="1" xfId="0" applyNumberFormat="1" applyFont="1" applyFill="1" applyBorder="1" applyAlignment="1">
      <x:alignment vertical="center"/>
    </x:xf>
    <x:xf numFmtId="200" fontId="7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201" fontId="7" fillId="4" borderId="0" xfId="0" applyNumberFormat="1" applyFont="1" applyFill="1" applyBorder="1" applyAlignment="1">
      <x:alignment vertical="center" wrapText="1"/>
    </x:xf>
    <x:xf numFmtId="0" fontId="7" fillId="4" borderId="0" xfId="0" applyNumberFormat="1" applyFont="1" applyFill="1" applyBorder="1" applyAlignment="1">
      <x:alignment vertical="center" wrapText="1"/>
    </x:xf>
    <x:xf numFmtId="200" fontId="7" fillId="4" borderId="1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vertical="center" wrapText="1"/>
    </x:xf>
    <x:xf numFmtId="201" fontId="7" fillId="4" borderId="1" xfId="0" applyNumberFormat="1" applyFont="1" applyFill="1" applyBorder="1" applyAlignment="1">
      <x:alignment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202" fontId="7" fillId="4" borderId="0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vertical="center"/>
    </x:xf>
    <x:xf numFmtId="203" fontId="7" fillId="4" borderId="0" xfId="0" applyNumberFormat="1" applyFont="1" applyFill="1" applyBorder="1" applyAlignment="1">
      <x:alignment vertical="center"/>
    </x:xf>
    <x:xf numFmtId="203" fontId="7" fillId="4" borderId="1" xfId="0" applyNumberFormat="1" applyFont="1" applyFill="1" applyBorder="1" applyAlignment="1">
      <x:alignment vertical="center"/>
    </x:xf>
    <x:xf numFmtId="200" fontId="4" fillId="4" borderId="0" xfId="0" applyNumberFormat="1" applyFont="1" applyFill="1" applyBorder="1" applyAlignment="1">
      <x:alignment vertical="center"/>
    </x:xf>
    <x:xf numFmtId="200" fontId="4" fillId="4" borderId="1" xfId="0" applyNumberFormat="1" applyFont="1" applyFill="1" applyBorder="1" applyAlignment="1">
      <x:alignment vertical="center"/>
    </x:xf>
    <x:xf numFmtId="204" fontId="4" fillId="4" borderId="0" xfId="0" applyNumberFormat="1" applyFont="1" applyFill="1" applyBorder="1" applyAlignment="1">
      <x:alignment vertical="center"/>
    </x:xf>
    <x:xf numFmtId="204" fontId="4" fillId="4" borderId="1" xfId="0" applyNumberFormat="1" applyFont="1" applyFill="1" applyBorder="1" applyAlignment="1">
      <x:alignment vertical="center"/>
    </x:xf>
    <x:xf numFmtId="202" fontId="7" fillId="4" borderId="0" xfId="0" applyNumberFormat="1" applyFont="1" applyFill="1" applyBorder="1" applyAlignment="1">
      <x:alignment vertical="center" wrapText="1"/>
    </x:xf>
    <x:xf numFmtId="203" fontId="7" fillId="4" borderId="0" xfId="0" applyNumberFormat="1" applyFont="1" applyFill="1" applyBorder="1" applyAlignment="1">
      <x:alignment vertical="center" wrapText="1"/>
    </x:xf>
    <x:xf numFmtId="204" fontId="4" fillId="4" borderId="0" xfId="0" applyNumberFormat="1" applyFont="1" applyFill="1" applyBorder="1" applyAlignment="1">
      <x:alignment vertical="center" wrapText="1"/>
    </x:xf>
    <x:xf numFmtId="200" fontId="4" fillId="4" borderId="0" xfId="0" applyNumberFormat="1" applyFont="1" applyFill="1" applyBorder="1" applyAlignment="1">
      <x:alignment vertical="center" wrapText="1"/>
    </x:xf>
    <x:xf numFmtId="202" fontId="7" fillId="4" borderId="1" xfId="0" applyNumberFormat="1" applyFont="1" applyFill="1" applyBorder="1" applyAlignment="1">
      <x:alignment vertical="center" wrapText="1"/>
    </x:xf>
    <x:xf numFmtId="203" fontId="7" fillId="4" borderId="1" xfId="0" applyNumberFormat="1" applyFont="1" applyFill="1" applyBorder="1" applyAlignment="1">
      <x:alignment vertical="center" wrapText="1"/>
    </x:xf>
    <x:xf numFmtId="204" fontId="4" fillId="4" borderId="1" xfId="0" applyNumberFormat="1" applyFont="1" applyFill="1" applyBorder="1" applyAlignment="1">
      <x:alignment vertical="center" wrapText="1"/>
    </x:xf>
    <x:xf numFmtId="200" fontId="4" fillId="4" borderId="1" xfId="0" applyNumberFormat="1" applyFont="1" applyFill="1" applyBorder="1" applyAlignment="1">
      <x:alignment vertical="center" wrapText="1"/>
    </x:xf>
    <x:xf numFmtId="205" fontId="7" fillId="4" borderId="0" xfId="0" applyNumberFormat="1" applyFont="1" applyFill="1" applyBorder="1" applyAlignment="1">
      <x:alignment vertical="center"/>
    </x:xf>
    <x:xf numFmtId="205" fontId="7" fillId="4" borderId="1" xfId="0" applyNumberFormat="1" applyFont="1" applyFill="1" applyBorder="1" applyAlignment="1">
      <x:alignment vertical="center"/>
    </x:xf>
    <x:xf numFmtId="206" fontId="7" fillId="4" borderId="0" xfId="0" applyNumberFormat="1" applyFont="1" applyFill="1" applyBorder="1" applyAlignment="1">
      <x:alignment vertical="center"/>
    </x:xf>
    <x:xf numFmtId="206" fontId="7" fillId="4" borderId="1" xfId="0" applyNumberFormat="1" applyFont="1" applyFill="1" applyBorder="1" applyAlignment="1">
      <x:alignment vertical="center"/>
    </x:xf>
    <x:xf numFmtId="207" fontId="7" fillId="4" borderId="0" xfId="0" applyNumberFormat="1" applyFont="1" applyFill="1" applyBorder="1" applyAlignment="1">
      <x:alignment vertical="center"/>
    </x:xf>
    <x:xf numFmtId="207" fontId="7" fillId="4" borderId="1" xfId="0" applyNumberFormat="1" applyFont="1" applyFill="1" applyBorder="1" applyAlignment="1">
      <x:alignment vertical="center"/>
    </x:xf>
    <x:xf numFmtId="206" fontId="4" fillId="4" borderId="0" xfId="0" applyNumberFormat="1" applyFont="1" applyFill="1" applyBorder="1" applyAlignment="1">
      <x:alignment vertical="center"/>
    </x:xf>
    <x:xf numFmtId="206" fontId="4" fillId="4" borderId="1" xfId="0" applyNumberFormat="1" applyFont="1" applyFill="1" applyBorder="1" applyAlignment="1">
      <x:alignment vertical="center"/>
    </x:xf>
    <x:xf numFmtId="207" fontId="4" fillId="4" borderId="0" xfId="0" applyNumberFormat="1" applyFont="1" applyFill="1" applyBorder="1" applyAlignment="1">
      <x:alignment vertical="center"/>
    </x:xf>
    <x:xf numFmtId="207" fontId="4" fillId="4" borderId="1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4" borderId="0" xfId="0" applyNumberFormat="1" applyFont="1" applyFill="1" applyBorder="1" applyAlignment="1">
      <x:alignment vertical="center"/>
    </x:xf>
    <x:xf numFmtId="0" fontId="9" fillId="4" borderId="1" xfId="0" applyNumberFormat="1" applyFont="1" applyFill="1" applyBorder="1" applyAlignment="1">
      <x:alignment vertical="center"/>
    </x:xf>
    <x:xf numFmtId="200" fontId="9" fillId="4" borderId="0" xfId="0" applyNumberFormat="1" applyFont="1" applyFill="1" applyBorder="1" applyAlignment="1">
      <x:alignment vertical="center"/>
    </x:xf>
    <x:xf numFmtId="200" fontId="9" fillId="4" borderId="1" xfId="0" applyNumberFormat="1" applyFont="1" applyFill="1" applyBorder="1" applyAlignment="1">
      <x:alignment vertical="center"/>
    </x:xf>
    <x:xf numFmtId="208" fontId="4" fillId="4" borderId="0" xfId="0" applyNumberFormat="1" applyFont="1" applyFill="1" applyBorder="1" applyAlignment="1">
      <x:alignment vertical="center"/>
    </x:xf>
    <x:xf numFmtId="208" fontId="4" fillId="4" borderId="1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1" fontId="9" fillId="4" borderId="0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1" fontId="9" fillId="4" borderId="1" xfId="0" applyNumberFormat="1" applyFont="1" applyFill="1" applyBorder="1" applyAlignment="1">
      <x:alignment vertical="center"/>
    </x:xf>
    <x:xf numFmtId="206" fontId="9" fillId="4" borderId="0" xfId="0" applyNumberFormat="1" applyFont="1" applyFill="1" applyBorder="1" applyAlignment="1">
      <x:alignment vertical="center"/>
    </x:xf>
    <x:xf numFmtId="206" fontId="9" fillId="4" borderId="1" xfId="0" applyNumberFormat="1" applyFont="1" applyFill="1" applyBorder="1" applyAlignment="1">
      <x:alignment vertical="center"/>
    </x:xf>
    <x:xf numFmtId="209" fontId="4" fillId="4" borderId="0" xfId="0" applyNumberFormat="1" applyFont="1" applyFill="1" applyBorder="1" applyAlignment="1">
      <x:alignment vertical="center"/>
    </x:xf>
    <x:xf numFmtId="209" fontId="4" fillId="4" borderId="1" xfId="0" applyNumberFormat="1" applyFont="1" applyFill="1" applyBorder="1" applyAlignment="1">
      <x:alignment vertical="center"/>
    </x:xf>
    <x:xf numFmtId="210" fontId="4" fillId="4" borderId="0" xfId="0" applyNumberFormat="1" applyFont="1" applyFill="1" applyBorder="1" applyAlignment="1">
      <x:alignment vertical="center"/>
    </x:xf>
    <x:xf numFmtId="210" fontId="4" fillId="4" borderId="1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/>
    <x:xf numFmtId="0" fontId="9" fillId="4" borderId="1" xfId="0" applyNumberFormat="1" applyFont="1" applyFill="1" applyBorder="1"/>
    <x:xf numFmtId="204" fontId="9" fillId="4" borderId="0" xfId="0" applyNumberFormat="1" applyFont="1" applyFill="1" applyBorder="1" applyAlignment="1">
      <x:alignment vertical="center"/>
    </x:xf>
    <x:xf numFmtId="204" fontId="9" fillId="4" borderId="1" xfId="0" applyNumberFormat="1" applyFont="1" applyFill="1" applyBorder="1" applyAlignment="1">
      <x:alignment vertical="center"/>
    </x:xf>
    <x:xf numFmtId="211" fontId="4" fillId="4" borderId="0" xfId="0" applyNumberFormat="1" applyFont="1" applyFill="1" applyBorder="1" applyAlignment="1">
      <x:alignment vertical="center"/>
    </x:xf>
    <x:xf numFmtId="211" fontId="4" fillId="4" borderId="1" xfId="0" applyNumberFormat="1" applyFont="1" applyFill="1" applyBorder="1" applyAlignment="1">
      <x:alignment vertical="center"/>
    </x:xf>
    <x:xf numFmtId="205" fontId="4" fillId="4" borderId="0" xfId="0" applyNumberFormat="1" applyFont="1" applyFill="1" applyBorder="1" applyAlignment="1">
      <x:alignment vertical="center"/>
    </x:xf>
    <x:xf numFmtId="205" fontId="4" fillId="4" borderId="1" xfId="0" applyNumberFormat="1" applyFont="1" applyFill="1" applyBorder="1" applyAlignment="1">
      <x:alignment vertical="center"/>
    </x:xf>
    <x:xf numFmtId="211" fontId="7" fillId="4" borderId="0" xfId="0" applyNumberFormat="1" applyFont="1" applyFill="1" applyBorder="1" applyAlignment="1">
      <x:alignment vertical="center"/>
    </x:xf>
    <x:xf numFmtId="211" fontId="7" fillId="4" borderId="1" xfId="0" applyNumberFormat="1" applyFont="1" applyFill="1" applyBorder="1" applyAlignment="1">
      <x:alignment vertical="center"/>
    </x:xf>
    <x:xf numFmtId="204" fontId="7" fillId="4" borderId="0" xfId="0" applyNumberFormat="1" applyFont="1" applyFill="1" applyBorder="1" applyAlignment="1">
      <x:alignment vertical="center"/>
    </x:xf>
    <x:xf numFmtId="204" fontId="7" fillId="4" borderId="1" xfId="0" applyNumberFormat="1" applyFont="1" applyFill="1" applyBorder="1" applyAlignment="1">
      <x:alignment vertical="center"/>
    </x:xf>
    <x:xf numFmtId="212" fontId="4" fillId="4" borderId="0" xfId="0" applyNumberFormat="1" applyFont="1" applyFill="1" applyBorder="1" applyAlignment="1">
      <x:alignment vertical="center"/>
    </x:xf>
    <x:xf numFmtId="212" fontId="4" fillId="4" borderId="1" xfId="0" applyNumberFormat="1" applyFont="1" applyFill="1" applyBorder="1" applyAlignment="1">
      <x:alignment vertical="center"/>
    </x:xf>
    <x:xf numFmtId="201" fontId="3" fillId="5" borderId="0" xfId="0" applyNumberFormat="1" applyFont="1" applyFill="1" applyBorder="1" applyAlignment="1">
      <x:alignment horizontal="center" vertical="center" wrapText="1"/>
    </x:xf>
    <x:xf numFmtId="201" fontId="3" fillId="5" borderId="1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200" fontId="4" fillId="3" borderId="1" xfId="0" applyNumberFormat="1" applyFont="1" applyFill="1" applyBorder="1" applyAlignment="1">
      <x:alignment vertical="center"/>
    </x:xf>
    <x:xf numFmtId="200" fontId="3" fillId="3" borderId="1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200" fontId="3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 wrapText="1"/>
    </x:xf>
    <x:xf numFmtId="200" fontId="3" fillId="5" borderId="0" xfId="0" applyNumberFormat="1" applyFont="1" applyFill="1" applyBorder="1" applyAlignment="1">
      <x:alignment vertical="center" wrapText="1"/>
    </x:xf>
    <x:xf numFmtId="200" fontId="3" fillId="5" borderId="0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/>
    </x:xf>
    <x:xf numFmtId="200" fontId="4" fillId="5" borderId="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200" fontId="3" fillId="5" borderId="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200" fontId="3" fillId="5" borderId="1" xfId="0" applyNumberFormat="1" applyFont="1" applyFill="1" applyBorder="1" applyAlignment="1">
      <x:alignment vertical="center" wrapText="1"/>
    </x:xf>
    <x:xf numFmtId="200" fontId="3" fillId="5" borderId="1" xfId="0" applyNumberFormat="1" applyFont="1" applyFill="1" applyBorder="1" applyAlignment="1">
      <x:alignment horizontal="center" vertical="center" wrapText="1"/>
    </x:xf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8" borderId="0" xfId="0" applyNumberFormat="1" applyFont="1" applyFill="1" applyBorder="1"/>
    <x:xf numFmtId="200" fontId="8" fillId="8" borderId="0" xfId="0" applyNumberFormat="1" applyFont="1" applyFill="1" applyBorder="1"/>
    <x:xf numFmtId="200" fontId="8" fillId="8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6">
    <x:dxf>
      <x:font>
        <x:b/>
        <x:color rgb="FF86EFAC"/>
      </x:font>
      <x:fill>
        <x:patternFill>
          <x:bgColor rgb="FF164E2E"/>
        </x:patternFill>
      </x:fill>
    </x:dxf>
    <x:dxf>
      <x:font>
        <x:b/>
        <x:color rgb="FFFFD966"/>
      </x:font>
      <x:fill>
        <x:patternFill>
          <x:bgColor rgb="FF4A3A0A"/>
        </x:patternFill>
      </x:fill>
    </x:dxf>
    <x:dxf>
      <x:font>
        <x:b/>
        <x:color rgb="FFFCA5A5"/>
      </x:font>
      <x:fill>
        <x:patternFill>
          <x:bgColor rgb="FF4A1515"/>
        </x:patternFill>
      </x:fill>
    </x:dxf>
    <x:dxf>
      <x:font>
        <x:b/>
        <x:color rgb="FF86EFAC"/>
      </x:font>
    </x:dxf>
    <x:dxf>
      <x:font>
        <x:b/>
        <x:color rgb="FFFCA5A5"/>
      </x:font>
    </x:dxf>
    <x:dxf>
      <x:font>
        <x:b/>
        <x:color rgb="FFFCA5A5"/>
      </x:font>
      <x:fill>
        <x:patternFill>
          <x:bgColor rgb="FF4A1515"/>
        </x:patternFill>
      </x:fill>
    </x:dxf>
    <x:dxf>
      <x:font>
        <x:b/>
        <x:color rgb="FFFFD966"/>
      </x:font>
      <x:fill>
        <x:patternFill>
          <x:bgColor rgb="FF4A3A0A"/>
        </x:patternFill>
      </x:fill>
    </x:dxf>
    <x:dxf>
      <x:font>
        <x:b/>
        <x:color rgb="FFFFFFFF"/>
      </x:font>
      <x:fill>
        <x:patternFill>
          <x:bgColor rgb="FFB91C1C"/>
        </x:patternFill>
      </x:fill>
    </x:dxf>
    <x:dxf>
      <x:font>
        <x:b/>
        <x:color rgb="FFFFFFFF"/>
      </x:font>
      <x:fill>
        <x:patternFill>
          <x:bgColor rgb="FF2563EB"/>
        </x:patternFill>
      </x:fill>
    </x:dxf>
    <x:dxf>
      <x:font>
        <x:b/>
        <x:color rgb="FFFFFFFF"/>
      </x:font>
      <x:fill>
        <x:patternFill>
          <x:bgColor rgb="FFD97706"/>
        </x:patternFill>
      </x:fill>
    </x:dxf>
    <x:dxf>
      <x:font>
        <x:b/>
        <x:color rgb="FFFFFFFF"/>
      </x:font>
      <x:fill>
        <x:patternFill>
          <x:bgColor rgb="FF0D9488"/>
        </x:patternFill>
      </x:fill>
    </x:dxf>
    <x:dxf>
      <x:font>
        <x:b/>
        <x:color rgb="FFFFFFFF"/>
      </x:font>
      <x:fill>
        <x:patternFill>
          <x:bgColor rgb="FFA16207"/>
        </x:patternFill>
      </x:fill>
    </x:dxf>
    <x:dxf>
      <x:font>
        <x:color rgb="FF8BA3BD"/>
      </x:font>
    </x:dxf>
    <x:dxf>
      <x:font>
        <x:b/>
        <x:color rgb="FFFCA5A5"/>
      </x:font>
      <x:fill>
        <x:patternFill>
          <x:bgColor rgb="FF4A1515"/>
        </x:patternFill>
      </x:fill>
    </x:dxf>
    <x:dxf>
      <x:font>
        <x:b/>
        <x:color rgb="FFFFD966"/>
      </x:font>
      <x:fill>
        <x:patternFill>
          <x:bgColor rgb="FF4A3A0A"/>
        </x:patternFill>
      </x:fill>
    </x:dxf>
    <x:dxf>
      <x:font>
        <x:b/>
        <x:color rgb="FF86EFAC"/>
      </x:font>
      <x:fill>
        <x:patternFill>
          <x:bgColor rgb="FF12382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bbf3fb945f4b0c" /><Relationship Type="http://schemas.openxmlformats.org/officeDocument/2006/relationships/theme" Target="/xl/theme/theme1.xml" Id="Rf1ab70866cec4384" /><Relationship Type="http://schemas.openxmlformats.org/officeDocument/2006/relationships/sheetMetadata" Target="/xl/metadata1.xml" Id="R012651f580cb430b" /><Relationship Type="http://schemas.microsoft.com/office/2022/11/relationships/FeaturePropertyBag" Target="/xl/featurePropertyBag/featurePropertyBag.xml" Id="R56860aef18094ab4" /><Relationship Type="http://schemas.openxmlformats.org/officeDocument/2006/relationships/sharedStrings" Target="/xl/sharedStrings.xml" Id="R525bbe2498cc4b2b" /><Relationship Type="http://schemas.openxmlformats.org/officeDocument/2006/relationships/worksheet" Target="/xl/worksheets/sheet1.xml" Id="R8e880515054e49fd" /><Relationship Type="http://schemas.openxmlformats.org/officeDocument/2006/relationships/worksheet" Target="/xl/worksheets/sheet2.xml" Id="R616b080984734c52" /><Relationship Type="http://schemas.openxmlformats.org/officeDocument/2006/relationships/worksheet" Target="/xl/worksheets/sheet3.xml" Id="R057a50f8b4a6455f" /><Relationship Type="http://schemas.openxmlformats.org/officeDocument/2006/relationships/worksheet" Target="/xl/worksheets/sheet4.xml" Id="Rac5fb329cac344eb" /><Relationship Type="http://schemas.openxmlformats.org/officeDocument/2006/relationships/worksheet" Target="/xl/worksheets/sheet5.xml" Id="R13766e56494f4264" /><Relationship Type="http://schemas.openxmlformats.org/officeDocument/2006/relationships/worksheet" Target="/xl/worksheets/sheet6.xml" Id="R94a40f17adde493b" /><Relationship Type="http://schemas.openxmlformats.org/officeDocument/2006/relationships/worksheet" Target="/xl/worksheets/sheet7.xml" Id="R3e71aa41563143d7" /><Relationship Type="http://schemas.openxmlformats.org/officeDocument/2006/relationships/worksheet" Target="/xl/worksheets/sheet8.xml" Id="R74962ca16df8400c" /><Relationship Type="http://schemas.openxmlformats.org/officeDocument/2006/relationships/worksheet" Target="/xl/worksheets/sheet9.xml" Id="R51e4ef62c9074ff6" /><Relationship Type="http://schemas.openxmlformats.org/officeDocument/2006/relationships/worksheet" Target="/xl/worksheets/sheet10.xml" Id="R079d3e2770f741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285c79c1e5486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BetaAdj $Delta</c:v>
          </c:tx>
          <c:cat>
            <c:strRef>
              <c:f>'Risk_Manager'!$A$19:$A$25</c:f>
              <c:strCache>
                <c:ptCount val="0"/>
              </c:strCache>
            </c:strRef>
          </c:cat>
          <c:val>
            <c:numRef>
              <c:f>'Risk_Manager'!$D$19:$D$25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12</xdr:row>
      <xdr:rowOff>0</xdr:rowOff>
    </xdr:from>
    <xdr:to>
      <xdr:col>18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285c79c1e54866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OptionsJournalDemo" displayName="OptionsJournalDemo" ref="A4:P14" headerRowCount="1" totalsRowCount="0" totalsRowShown="0">
  <x:tableColumns count="16">
    <x:tableColumn id="1" name="Trade_ID"/>
    <x:tableColumn id="2" name="Strategy"/>
    <x:tableColumn id="3" name="Status"/>
    <x:tableColumn id="4" name="Position"/>
    <x:tableColumn id="5" name="Ticker"/>
    <x:tableColumn id="6" name="Structure"/>
    <x:tableColumn id="7" name="Strikes"/>
    <x:tableColumn id="8" name="Entry_Date"/>
    <x:tableColumn id="9" name="Expiry"/>
    <x:tableColumn id="10" name="QTY"/>
    <x:tableColumn id="11" name="Net_Entry_Price"/>
    <x:tableColumn id="12" name="BE_Sign"/>
    <x:tableColumn id="13" name="Breakeven"/>
    <x:tableColumn id="14" name="Factor"/>
    <x:tableColumn id="15" name="DTE"/>
    <x:tableColumn id="16" name="Entry_Premium_$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rketDataDemo" displayName="MarketDataDemo" ref="A4:I13" headerRowCount="1" totalsRowCount="0" totalsRowShown="0">
  <x:tableColumns count="9">
    <x:tableColumn id="1" name="Ticker"/>
    <x:tableColumn id="2" name="Spot_$"/>
    <x:tableColumn id="3" name="RVOL"/>
    <x:tableColumn id="4" name="IV_Rank"/>
    <x:tableColumn id="5" name="ATR_10_$"/>
    <x:tableColumn id="6" name="Beta_vs_SPY"/>
    <x:tableColumn id="7" name="Corr_vs_SPY"/>
    <x:tableColumn id="8" name="Trend_State"/>
    <x:tableColumn id="9" name="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OptionDataDemo" displayName="OptionDataDemo" ref="A4:L21" headerRowCount="1" totalsRowCount="0" totalsRowShown="0">
  <x:tableColumns count="12">
    <x:tableColumn id="1" name="Key"/>
    <x:tableColumn id="2" name="Trade_ID"/>
    <x:tableColumn id="3" name="Leg_Num"/>
    <x:tableColumn id="4" name="Mid_$"/>
    <x:tableColumn id="5" name="Delta"/>
    <x:tableColumn id="6" name="Theta_$/day"/>
    <x:tableColumn id="7" name="Vega_$/pt"/>
    <x:tableColumn id="8" name="Gamma"/>
    <x:tableColumn id="9" name="IV"/>
    <x:tableColumn id="10" name="Skew_Pctl"/>
    <x:tableColumn id="11" name="Quality"/>
    <x:tableColumn id="12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entTableDemo" displayName="EventTableDemo" ref="A4:G12" headerRowCount="1" totalsRowCount="0" totalsRowShown="0">
  <x:tableColumns count="7">
    <x:tableColumn id="1" name="Event_Date"/>
    <x:tableColumn id="2" name="Symbol"/>
    <x:tableColumn id="3" name="Event_Name"/>
    <x:tableColumn id="4" name="Event_Type"/>
    <x:tableColumn id="5" name="Include_In_Action"/>
    <x:tableColumn id="6" name="Notes"/>
    <x:tableColumn id="7" name="Days_Unti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ae9cdfe14cd4b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333f83d753a4b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7d22708d7f8479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544ede5a764a41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1f1d5aac44f94f43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>
      <x:c r="A1" s="5" t="str">
        <x:v>CONVEX PORTFOLIO MANAGER — PUBLIC DEMO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3">
      <x:c r="A3" s="9" t="str">
        <x:v>Portfolio risk &amp; options decision-support system | GitHub demonstration build | All figures are synthetic</x:v>
      </x:c>
      <x:c r="B3" s="9"/>
      <x:c r="C3" s="9"/>
      <x:c r="D3" s="9"/>
      <x:c r="E3" s="9"/>
      <x:c r="F3" s="9"/>
      <x:c r="G3" s="9"/>
      <x:c r="H3" s="9"/>
      <x:c r="I3" s="9"/>
      <x:c r="J3" s="9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14" t="str">
        <x:v>WHAT THIS PROJECT DEMONSTRATES</x:v>
      </x:c>
      <x:c r="B5" s="14"/>
      <x:c r="C5" s="14"/>
      <x:c r="D5" s="14"/>
      <x:c r="E5" s="14"/>
      <x:c r="F5" s="14"/>
      <x:c r="G5" s="14"/>
      <x:c r="H5" s="14"/>
      <x:c r="I5" s="14"/>
      <x:c r="J5" s="14"/>
    </x:row>
    <x:row r="6" ht="28" customHeight="1">
      <x:c r="A6" s="24" t="str">
        <x:v>• A systematic workflow that converts manually logged trades into leg-level option exposures, position analytics, and portfolio-level risk.</x:v>
      </x:c>
      <x:c r="B6" s="24"/>
      <x:c r="C6" s="24"/>
      <x:c r="D6" s="24"/>
      <x:c r="E6" s="24"/>
      <x:c r="F6" s="24"/>
      <x:c r="G6" s="24"/>
      <x:c r="H6" s="24"/>
      <x:c r="I6" s="24"/>
      <x:c r="J6" s="24"/>
    </x:row>
    <x:row r="7" ht="28" customHeight="1">
      <x:c r="A7" s="24" t="str">
        <x:v>• Multi-leg option decomposition with sign-aware contract quantities and synthetic leg Greeks.</x:v>
      </x:c>
      <x:c r="B7" s="24"/>
      <x:c r="C7" s="24"/>
      <x:c r="D7" s="24"/>
      <x:c r="E7" s="24"/>
      <x:c r="F7" s="24"/>
      <x:c r="G7" s="24"/>
      <x:c r="H7" s="24"/>
      <x:c r="I7" s="24"/>
      <x:c r="J7" s="24"/>
    </x:row>
    <x:row r="8" ht="28" customHeight="1">
      <x:c r="A8" s="24" t="str">
        <x:v>• Position analytics: P&amp;L, probability-of-profit proxy, IV vs realized volatility, dollar delta, beta-adjusted delta, theta, vega, gamma and event-aware actions.</x:v>
      </x:c>
      <x:c r="B8" s="24"/>
      <x:c r="C8" s="24"/>
      <x:c r="D8" s="24"/>
      <x:c r="E8" s="24"/>
      <x:c r="F8" s="24"/>
      <x:c r="G8" s="24"/>
      <x:c r="H8" s="24"/>
      <x:c r="I8" s="24"/>
      <x:c r="J8" s="24"/>
    </x:row>
    <x:row r="9" ht="28" customHeight="1">
      <x:c r="A9" s="24" t="str">
        <x:v>• Portfolio aggregation: factor concentration, risk limits, risk meter, volatility-targeted buying power, premium scaling, hedge sizing and a gamma-aware stress grid.</x:v>
      </x:c>
      <x:c r="B9" s="24"/>
      <x:c r="C9" s="24"/>
      <x:c r="D9" s="24"/>
      <x:c r="E9" s="24"/>
      <x:c r="F9" s="24"/>
      <x:c r="G9" s="24"/>
      <x:c r="H9" s="24"/>
      <x:c r="I9" s="24"/>
      <x:c r="J9" s="24"/>
    </x:row>
    <x:row r="10" ht="28" customHeight="1">
      <x:c r="A10" s="24" t="str">
        <x:v>• A scenario lab that translates position Greeks into an intuitive price / time / volatility sensitivity surface.</x:v>
      </x:c>
      <x:c r="B10" s="24"/>
      <x:c r="C10" s="24"/>
      <x:c r="D10" s="24"/>
      <x:c r="E10" s="24"/>
      <x:c r="F10" s="24"/>
      <x:c r="G10" s="24"/>
      <x:c r="H10" s="24"/>
      <x:c r="I10" s="24"/>
      <x:c r="J10" s="24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  <x:row r="13">
      <x:c r="A13" s="14" t="str">
        <x:v>MODEL ARCHITECTURE</x:v>
      </x:c>
      <x:c r="B13" s="14"/>
      <x:c r="C13" s="14"/>
      <x:c r="D13" s="14"/>
      <x:c r="E13" s="14"/>
      <x:c r="F13" s="14"/>
      <x:c r="G13" s="14"/>
      <x:c r="H13" s="14"/>
      <x:c r="I13" s="14"/>
      <x:c r="J13" s="14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</x:row>
    <x:row r="15">
      <x:c r="A15" s="30" t="str">
        <x:v>1  OPTIONS JOURNAL
Manual trade entry</x:v>
      </x:c>
      <x:c r="B15" s="30"/>
      <x:c r="C15" s="30" t="str">
        <x:v>2  RISK VIEW
Explode trades into legs + Greeks</x:v>
      </x:c>
      <x:c r="D15" s="30"/>
      <x:c r="E15" s="30" t="str">
        <x:v>3  POSITIONAL ANALYSIS
Quantify each position + action</x:v>
      </x:c>
      <x:c r="F15" s="30"/>
      <x:c r="G15" s="30" t="str">
        <x:v>4  RISK MANAGER
Aggregate portfolio risk + limits</x:v>
      </x:c>
      <x:c r="H15" s="30"/>
      <x:c r="I15" s="30" t="str">
        <x:v>5  SCENARIO / EVENTS
Stress decisions around catalysts</x:v>
      </x:c>
      <x:c r="J15" s="30"/>
    </x:row>
    <x:row r="16">
      <x:c r="A16" s="30"/>
      <x:c r="B16" s="30"/>
      <x:c r="C16" s="30"/>
      <x:c r="D16" s="30"/>
      <x:c r="E16" s="30"/>
      <x:c r="F16" s="30"/>
      <x:c r="G16" s="30"/>
      <x:c r="H16" s="30"/>
      <x:c r="I16" s="30"/>
      <x:c r="J16" s="30"/>
    </x:row>
    <x:row r="17">
      <x:c r="A17" s="30"/>
      <x:c r="B17" s="30"/>
      <x:c r="C17" s="30"/>
      <x:c r="D17" s="30"/>
      <x:c r="E17" s="30"/>
      <x:c r="F17" s="30"/>
      <x:c r="G17" s="30"/>
      <x:c r="H17" s="30"/>
      <x:c r="I17" s="30"/>
      <x:c r="J17" s="30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>
      <x:c r="A19" s="14" t="str">
        <x:v>PUBLIC-DEMO DESIGN CHOICES</x:v>
      </x:c>
      <x:c r="B19" s="14"/>
      <x:c r="C19" s="14"/>
      <x:c r="D19" s="14"/>
      <x:c r="E19" s="14"/>
      <x:c r="F19" s="14"/>
      <x:c r="G19" s="14"/>
      <x:c r="H19" s="14"/>
      <x:c r="I19" s="14"/>
      <x:c r="J19" s="14"/>
    </x:row>
    <x:row r="20">
      <x:c r="A20" s="37" t="str">
        <x:v>Synthetic data only</x:v>
      </x:c>
      <x:c r="B20" s="37"/>
      <x:c r="C20" s="37"/>
      <x:c r="D20" s="24" t="str">
        <x:v>No live account balances, positions, transaction history, personal identifiers or licensed Options Samurai values are included.</x:v>
      </x:c>
      <x:c r="E20" s="24"/>
      <x:c r="F20" s="24"/>
      <x:c r="G20" s="24"/>
      <x:c r="H20" s="24"/>
      <x:c r="I20" s="24"/>
      <x:c r="J20" s="24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</x:row>
    <x:row r="22">
      <x:c r="A22" s="37" t="str">
        <x:v>Self-contained</x:v>
      </x:c>
      <x:c r="B22" s="37"/>
      <x:c r="C22" s="37"/>
      <x:c r="D22" s="24" t="str">
        <x:v>The public file uses a synthetic option-data layer so a reviewer can inspect the logic without an Options Samurai subscription.</x:v>
      </x:c>
      <x:c r="E22" s="24"/>
      <x:c r="F22" s="24"/>
      <x:c r="G22" s="24"/>
      <x:c r="H22" s="24"/>
      <x:c r="I22" s="24"/>
      <x:c r="J22" s="24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37" t="str">
        <x:v>Single assumptions layer</x:v>
      </x:c>
      <x:c r="B24" s="37"/>
      <x:c r="C24" s="37"/>
      <x:c r="D24" s="24" t="str">
        <x:v>Account, volatility and hedge assumptions live on CONFIG so ratios remain internally consistent.</x:v>
      </x:c>
      <x:c r="E24" s="24"/>
      <x:c r="F24" s="24"/>
      <x:c r="G24" s="24"/>
      <x:c r="H24" s="24"/>
      <x:c r="I24" s="24"/>
      <x:c r="J24" s="24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37" t="str">
        <x:v>Event symbol field</x:v>
      </x:c>
      <x:c r="B26" s="37"/>
      <x:c r="C26" s="37"/>
      <x:c r="D26" s="24" t="str">
        <x:v>Events include an explicit Symbol column instead of relying on wildcard text matching.</x:v>
      </x:c>
      <x:c r="E26" s="24"/>
      <x:c r="F26" s="24"/>
      <x:c r="G26" s="24"/>
      <x:c r="H26" s="24"/>
      <x:c r="I26" s="24"/>
      <x:c r="J26" s="24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37" t="str">
        <x:v>Gamma-aware stress</x:v>
      </x:c>
      <x:c r="B28" s="37"/>
      <x:c r="C28" s="37"/>
      <x:c r="D28" s="24" t="str">
        <x:v>The public stress grid includes a convexity term rather than excluding gamma.</x:v>
      </x:c>
      <x:c r="E28" s="24"/>
      <x:c r="F28" s="24"/>
      <x:c r="G28" s="24"/>
      <x:c r="H28" s="24"/>
      <x:c r="I28" s="24"/>
      <x:c r="J28" s="24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>
      <x:c r="A31" s="14" t="str">
        <x:v>HOW TO USE THE DEMO</x:v>
      </x:c>
      <x:c r="B31" s="14"/>
      <x:c r="C31" s="14"/>
      <x:c r="D31" s="14"/>
      <x:c r="E31" s="14"/>
      <x:c r="F31" s="14"/>
      <x:c r="G31" s="14"/>
      <x:c r="H31" s="14"/>
      <x:c r="I31" s="14"/>
      <x:c r="J31" s="14"/>
    </x:row>
    <x:row r="32">
      <x:c r="A32" s="20" t="str">
        <x:v>1. Review / edit synthetic trades on Options_Journal.</x:v>
      </x:c>
      <x:c r="B32" s="20"/>
      <x:c r="C32" s="20"/>
      <x:c r="D32" s="20"/>
      <x:c r="E32" s="20"/>
      <x:c r="F32" s="20"/>
      <x:c r="G32" s="20"/>
      <x:c r="H32" s="20"/>
      <x:c r="I32" s="20"/>
      <x:c r="J32" s="20"/>
    </x:row>
    <x:row r="33">
      <x:c r="A33" s="20" t="str">
        <x:v>2. Review synthetic market and option inputs on Demo_Market_Data and Option_Data_Demo.</x:v>
      </x:c>
      <x:c r="B33" s="20"/>
      <x:c r="C33" s="20"/>
      <x:c r="D33" s="20"/>
      <x:c r="E33" s="20"/>
      <x:c r="F33" s="20"/>
      <x:c r="G33" s="20"/>
      <x:c r="H33" s="20"/>
      <x:c r="I33" s="20"/>
      <x:c r="J33" s="20"/>
    </x:row>
    <x:row r="34">
      <x:c r="A34" s="20" t="str">
        <x:v>3. Risk_View decomposes each trade into legs; Positional_Analysis aggregates the legs back into position-level metrics.</x:v>
      </x:c>
      <x:c r="B34" s="20"/>
      <x:c r="C34" s="20"/>
      <x:c r="D34" s="20"/>
      <x:c r="E34" s="20"/>
      <x:c r="F34" s="20"/>
      <x:c r="G34" s="20"/>
      <x:c r="H34" s="20"/>
      <x:c r="I34" s="20"/>
      <x:c r="J34" s="20"/>
    </x:row>
    <x:row r="35">
      <x:c r="A35" s="20" t="str">
        <x:v>4. Risk_Manager summarizes the entire book and compares exposures with configurable risk limits.</x:v>
      </x:c>
      <x:c r="B35" s="20"/>
      <x:c r="C35" s="20"/>
      <x:c r="D35" s="20"/>
      <x:c r="E35" s="20"/>
      <x:c r="F35" s="20"/>
      <x:c r="G35" s="20"/>
      <x:c r="H35" s="20"/>
      <x:c r="I35" s="20"/>
      <x:c r="J35" s="20"/>
    </x:row>
    <x:row r="36">
      <x:c r="A36" s="20" t="str">
        <x:v>5. Scenario_Lab lets you select a trade and shock price, time and implied volatility.</x:v>
      </x:c>
      <x:c r="B36" s="20"/>
      <x:c r="C36" s="20"/>
      <x:c r="D36" s="20"/>
      <x:c r="E36" s="20"/>
      <x:c r="F36" s="20"/>
      <x:c r="G36" s="20"/>
      <x:c r="H36" s="20"/>
      <x:c r="I36" s="20"/>
      <x:c r="J36" s="20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>
      <x:c r="A38" s="43" t="str">
        <x:v>IMPORTANT: This workbook is a portfolio demonstration and educational decision-support tool, not investment advice or a validated institutional risk system. Thresholds are illustrative and should be calibrated before real-money use.</x:v>
      </x:c>
      <x:c r="B38" s="43"/>
      <x:c r="C38" s="43"/>
      <x:c r="D38" s="43"/>
      <x:c r="E38" s="43"/>
      <x:c r="F38" s="43"/>
      <x:c r="G38" s="43"/>
      <x:c r="H38" s="43"/>
      <x:c r="I38" s="43"/>
      <x:c r="J38" s="43"/>
    </x:row>
    <x:row r="39">
      <x:c r="A39" s="43"/>
      <x:c r="B39" s="43"/>
      <x:c r="C39" s="43"/>
      <x:c r="D39" s="43"/>
      <x:c r="E39" s="43"/>
      <x:c r="F39" s="43"/>
      <x:c r="G39" s="43"/>
      <x:c r="H39" s="43"/>
      <x:c r="I39" s="43"/>
      <x:c r="J39" s="43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</x:sheetData>
  <x:mergeCells>
    <x:mergeCell ref="A1:J2"/>
    <x:mergeCell ref="A3:J3"/>
    <x:mergeCell ref="A5:J5"/>
    <x:mergeCell ref="A6:J6"/>
    <x:mergeCell ref="A7:J7"/>
    <x:mergeCell ref="A8:J8"/>
    <x:mergeCell ref="A9:J9"/>
    <x:mergeCell ref="A10:J10"/>
    <x:mergeCell ref="A13:J13"/>
    <x:mergeCell ref="A15:B17"/>
    <x:mergeCell ref="C15:D17"/>
    <x:mergeCell ref="E15:F17"/>
    <x:mergeCell ref="G15:H17"/>
    <x:mergeCell ref="I15:J17"/>
    <x:mergeCell ref="A19:J19"/>
    <x:mergeCell ref="A20:C20"/>
    <x:mergeCell ref="D20:J20"/>
    <x:mergeCell ref="A22:C22"/>
    <x:mergeCell ref="D22:J22"/>
    <x:mergeCell ref="A24:C24"/>
    <x:mergeCell ref="D24:J24"/>
    <x:mergeCell ref="A26:C26"/>
    <x:mergeCell ref="D26:J26"/>
    <x:mergeCell ref="A28:C28"/>
    <x:mergeCell ref="D28:J28"/>
    <x:mergeCell ref="A31:J31"/>
    <x:mergeCell ref="A32:J32"/>
    <x:mergeCell ref="A33:J33"/>
    <x:mergeCell ref="A34:J34"/>
    <x:mergeCell ref="A35:J35"/>
    <x:mergeCell ref="A36:J36"/>
    <x:mergeCell ref="A38:J3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32" hidden="0" customWidth="1"/>
  </x:cols>
  <x:sheetData>
    <x:row r="1">
      <x:c r="A1" s="5" t="str">
        <x:v>DEMO CONFIGURATION</x:v>
      </x:c>
      <x:c r="B1" s="5"/>
      <x:c r="C1" s="5"/>
      <x:c r="D1" s="5"/>
    </x:row>
    <x:row r="2">
      <x:c r="A2" s="5"/>
      <x:c r="B2" s="5"/>
      <x:c r="C2" s="5"/>
      <x:c r="D2" s="5"/>
    </x:row>
    <x:row r="3">
      <x:c r="A3" s="2"/>
      <x:c r="B3" s="2"/>
      <x:c r="C3" s="2"/>
      <x:c r="D3" s="2"/>
    </x:row>
    <x:row r="4">
      <x:c r="A4" s="51" t="str">
        <x:v>Assumption</x:v>
      </x:c>
      <x:c r="B4" s="51" t="str">
        <x:v>Value</x:v>
      </x:c>
      <x:c r="C4" s="51" t="str">
        <x:v>Source / Note</x:v>
      </x:c>
      <x:c r="D4" s="2"/>
    </x:row>
    <x:row r="5">
      <x:c r="A5" s="24" t="str">
        <x:v>Account Equity ($)</x:v>
      </x:c>
      <x:c r="B5" s="68" t="n">
        <x:v>100000</x:v>
      </x:c>
      <x:c r="C5" s="69" t="str">
        <x:v>Synthetic demo assumption</x:v>
      </x:c>
      <x:c r="D5" s="2"/>
    </x:row>
    <x:row r="6">
      <x:c r="A6" s="24" t="str">
        <x:v>Max Buying Power ($)</x:v>
      </x:c>
      <x:c r="B6" s="68" t="n">
        <x:v>140000</x:v>
      </x:c>
      <x:c r="C6" s="69" t="str">
        <x:v>Synthetic demo assumption</x:v>
      </x:c>
      <x:c r="D6" s="2"/>
    </x:row>
    <x:row r="7">
      <x:c r="A7" s="24" t="str">
        <x:v>Available Buying Power ($)</x:v>
      </x:c>
      <x:c r="B7" s="68" t="n">
        <x:v>60000</x:v>
      </x:c>
      <x:c r="C7" s="69" t="str">
        <x:v>Synthetic demo assumption</x:v>
      </x:c>
      <x:c r="D7" s="2"/>
    </x:row>
    <x:row r="8">
      <x:c r="A8" s="24" t="str">
        <x:v>Current SPY IV</x:v>
      </x:c>
      <x:c r="B8" s="70" t="n">
        <x:v>0.18</x:v>
      </x:c>
      <x:c r="C8" s="69" t="str">
        <x:v>Synthetic demo assumption</x:v>
      </x:c>
      <x:c r="D8" s="2"/>
    </x:row>
    <x:row r="9">
      <x:c r="A9" s="24" t="str">
        <x:v>Normal IV Anchor</x:v>
      </x:c>
      <x:c r="B9" s="70" t="n">
        <x:v>0.18</x:v>
      </x:c>
      <x:c r="C9" s="69" t="str">
        <x:v>Synthetic demo assumption</x:v>
      </x:c>
      <x:c r="D9" s="2"/>
    </x:row>
    <x:row r="10">
      <x:c r="A10" s="24" t="str">
        <x:v>Base Utilization @ Anchor</x:v>
      </x:c>
      <x:c r="B10" s="70" t="n">
        <x:v>0.45</x:v>
      </x:c>
      <x:c r="C10" s="69" t="str">
        <x:v>Synthetic demo assumption</x:v>
      </x:c>
      <x:c r="D10" s="2"/>
    </x:row>
    <x:row r="11">
      <x:c r="A11" s="24" t="str">
        <x:v>Volatility Exponent k</x:v>
      </x:c>
      <x:c r="B11" s="71" t="n">
        <x:v>1</x:v>
      </x:c>
      <x:c r="C11" s="69" t="str">
        <x:v>Synthetic demo assumption</x:v>
      </x:c>
      <x:c r="D11" s="2"/>
    </x:row>
    <x:row r="12">
      <x:c r="A12" s="24" t="str">
        <x:v>Utilization Floor</x:v>
      </x:c>
      <x:c r="B12" s="70" t="n">
        <x:v>0.15</x:v>
      </x:c>
      <x:c r="C12" s="69" t="str">
        <x:v>Synthetic demo assumption</x:v>
      </x:c>
      <x:c r="D12" s="2"/>
    </x:row>
    <x:row r="13">
      <x:c r="A13" s="24" t="str">
        <x:v>Utilization Ceiling</x:v>
      </x:c>
      <x:c r="B13" s="70" t="n">
        <x:v>0.6</x:v>
      </x:c>
      <x:c r="C13" s="69" t="str">
        <x:v>Synthetic demo assumption</x:v>
      </x:c>
      <x:c r="D13" s="2"/>
    </x:row>
    <x:row r="14">
      <x:c r="A14" s="24" t="str">
        <x:v>Desired Portfolio RVOL</x:v>
      </x:c>
      <x:c r="B14" s="70" t="n">
        <x:v>0.3</x:v>
      </x:c>
      <x:c r="C14" s="69" t="str">
        <x:v>Synthetic demo assumption</x:v>
      </x:c>
      <x:c r="D14" s="2"/>
    </x:row>
    <x:row r="15">
      <x:c r="A15" s="24" t="str">
        <x:v>Hedge % of Beta-Adj Delta</x:v>
      </x:c>
      <x:c r="B15" s="70" t="n">
        <x:v>0.5</x:v>
      </x:c>
      <x:c r="C15" s="69" t="str">
        <x:v>Synthetic demo assumption</x:v>
      </x:c>
      <x:c r="D15" s="2"/>
    </x:row>
    <x:row r="16">
      <x:c r="A16" s="24" t="str">
        <x:v>SPY Price ($)</x:v>
      </x:c>
      <x:c r="B16" s="68" t="n">
        <x:v>550</x:v>
      </x:c>
      <x:c r="C16" s="69" t="str">
        <x:v>Synthetic demo assumption</x:v>
      </x:c>
      <x:c r="D16" s="2"/>
    </x:row>
    <x:row r="17">
      <x:c r="A17" s="24" t="str">
        <x:v>Risk-Free Rate</x:v>
      </x:c>
      <x:c r="B17" s="70" t="n">
        <x:v>0.037</x:v>
      </x:c>
      <x:c r="C17" s="69" t="str">
        <x:v>Synthetic demo assumption</x:v>
      </x:c>
      <x:c r="D17" s="2"/>
    </x:row>
    <x:row r="18">
      <x:c r="A18" s="2"/>
      <x:c r="B18" s="2"/>
      <x:c r="C18" s="2"/>
      <x:c r="D18" s="2"/>
    </x:row>
    <x:row r="19">
      <x:c r="A19" s="2"/>
      <x:c r="B19" s="2"/>
      <x:c r="C19" s="2"/>
      <x:c r="D19" s="2"/>
    </x:row>
    <x:row r="20">
      <x:c r="A20" s="2"/>
      <x:c r="B20" s="2"/>
      <x:c r="C20" s="2"/>
      <x:c r="D20" s="2"/>
    </x:row>
    <x:row r="21">
      <x:c r="A21" s="2"/>
      <x:c r="B21" s="2"/>
      <x:c r="C21" s="2"/>
      <x:c r="D21" s="2"/>
    </x:row>
    <x:row r="22">
      <x:c r="A22" s="2"/>
      <x:c r="B22" s="2"/>
      <x:c r="C22" s="2"/>
      <x:c r="D22" s="2"/>
    </x:row>
    <x:row r="23">
      <x:c r="A23" s="2"/>
      <x:c r="B23" s="2"/>
      <x:c r="C23" s="2"/>
      <x:c r="D23" s="2"/>
    </x:row>
    <x:row r="24">
      <x:c r="A24" s="2"/>
      <x:c r="B24" s="2"/>
      <x:c r="C24" s="2"/>
      <x:c r="D24" s="2"/>
    </x:row>
  </x:sheetData>
  <x:mergeCells>
    <x:mergeCell ref="A1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2" hidden="0" customWidth="1"/>
    <x:col min="3" max="3" width="10" hidden="0" customWidth="1"/>
    <x:col min="4" max="4" width="10" hidden="0" customWidth="1"/>
    <x:col min="5" max="5" width="10" hidden="0" customWidth="1"/>
    <x:col min="6" max="6" width="18" hidden="0" customWidth="1"/>
    <x:col min="7" max="7" width="16" hidden="0" customWidth="1"/>
    <x:col min="8" max="8" width="13" hidden="0" customWidth="1"/>
    <x:col min="9" max="9" width="13" hidden="0" customWidth="1"/>
    <x:col min="10" max="10" width="8" hidden="0" customWidth="1"/>
    <x:col min="11" max="11" width="16" hidden="0" customWidth="1"/>
    <x:col min="12" max="12" width="9" hidden="0" customWidth="1"/>
    <x:col min="13" max="13" width="16" hidden="0" customWidth="1"/>
    <x:col min="14" max="14" width="12" hidden="0" customWidth="1"/>
    <x:col min="15" max="15" width="9" hidden="0" customWidth="1"/>
    <x:col min="16" max="16" width="16" hidden="0" customWidth="1"/>
  </x:cols>
  <x:sheetData>
    <x:row r="1">
      <x:c r="A1" s="5" t="str">
        <x:v>OPTIONS JOURNAL — SYNTHETIC DEMO TRADES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>
      <x:c r="A4" s="51" t="str">
        <x:v>Trade_ID</x:v>
      </x:c>
      <x:c r="B4" s="51" t="str">
        <x:v>Strategy</x:v>
      </x:c>
      <x:c r="C4" s="51" t="str">
        <x:v>Status</x:v>
      </x:c>
      <x:c r="D4" s="51" t="str">
        <x:v>Position</x:v>
      </x:c>
      <x:c r="E4" s="51" t="str">
        <x:v>Ticker</x:v>
      </x:c>
      <x:c r="F4" s="51" t="str">
        <x:v>Structure</x:v>
      </x:c>
      <x:c r="G4" s="51" t="str">
        <x:v>Strikes</x:v>
      </x:c>
      <x:c r="H4" s="51" t="str">
        <x:v>Entry_Date</x:v>
      </x:c>
      <x:c r="I4" s="51" t="str">
        <x:v>Expiry</x:v>
      </x:c>
      <x:c r="J4" s="51" t="str">
        <x:v>QTY</x:v>
      </x:c>
      <x:c r="K4" s="51" t="str">
        <x:v>Net_Entry_Price</x:v>
      </x:c>
      <x:c r="L4" s="51" t="str">
        <x:v>BE_Sign</x:v>
      </x:c>
      <x:c r="M4" s="51" t="str">
        <x:v>Breakeven</x:v>
      </x:c>
      <x:c r="N4" s="51" t="str">
        <x:v>Factor</x:v>
      </x:c>
      <x:c r="O4" s="51" t="str">
        <x:v>DTE</x:v>
      </x:c>
      <x:c r="P4" s="51" t="str">
        <x:v>Entry_Premium_$</x:v>
      </x:c>
    </x:row>
    <x:row r="5">
      <x:c r="A5" s="71" t="n">
        <x:v>1</x:v>
      </x:c>
      <x:c r="B5" s="71" t="str">
        <x:v>Trend</x:v>
      </x:c>
      <x:c r="C5" s="71" t="str">
        <x:v>OPEN</x:v>
      </x:c>
      <x:c r="D5" s="71" t="str">
        <x:v>Long</x:v>
      </x:c>
      <x:c r="E5" s="71" t="str">
        <x:v>NVDA</x:v>
      </x:c>
      <x:c r="F5" s="71" t="str">
        <x:v>Vcall(dr)</x:v>
      </x:c>
      <x:c r="G5" s="71" t="str">
        <x:v>180/200</x:v>
      </x:c>
      <x:c r="H5" s="84" t="n">
        <x:v>46254</x:v>
      </x:c>
      <x:c r="I5" s="84" t="n">
        <x:v>46402</x:v>
      </x:c>
      <x:c r="J5" s="71" t="n">
        <x:v>1</x:v>
      </x:c>
      <x:c r="K5" s="85" t="n">
        <x:v>-8.5</x:v>
      </x:c>
      <x:c r="L5" s="71" t="str">
        <x:v>&gt;</x:v>
      </x:c>
      <x:c r="M5" s="71" t="str">
        <x:v>188.5</x:v>
      </x:c>
      <x:c r="N5" s="71" t="str">
        <x:v>AI</x:v>
      </x:c>
      <x:c r="O5" s="86" t="n">
        <x:f>IF(C5="OPEN",MAX(0,I5-TODAY()),"")</x:f>
        <x:v>128</x:v>
      </x:c>
      <x:c r="P5" s="87" t="n">
        <x:f>J5*K5*100</x:f>
        <x:v>-850</x:v>
      </x:c>
    </x:row>
    <x:row r="6">
      <x:c r="A6" s="71" t="n">
        <x:v>2</x:v>
      </x:c>
      <x:c r="B6" s="71" t="str">
        <x:v>Income</x:v>
      </x:c>
      <x:c r="C6" s="71" t="str">
        <x:v>OPEN</x:v>
      </x:c>
      <x:c r="D6" s="71" t="str">
        <x:v>Neutral</x:v>
      </x:c>
      <x:c r="E6" s="71" t="str">
        <x:v>SPY</x:v>
      </x:c>
      <x:c r="F6" s="71" t="str">
        <x:v>Vput(cr)</x:v>
      </x:c>
      <x:c r="G6" s="71" t="str">
        <x:v>535/525</x:v>
      </x:c>
      <x:c r="H6" s="84" t="n">
        <x:v>46266</x:v>
      </x:c>
      <x:c r="I6" s="84" t="n">
        <x:v>46311</x:v>
      </x:c>
      <x:c r="J6" s="71" t="n">
        <x:v>2</x:v>
      </x:c>
      <x:c r="K6" s="85" t="n">
        <x:v>2.6</x:v>
      </x:c>
      <x:c r="L6" s="71" t="str">
        <x:v>&gt;</x:v>
      </x:c>
      <x:c r="M6" s="71" t="str">
        <x:v>532.4</x:v>
      </x:c>
      <x:c r="N6" s="71" t="str">
        <x:v>INDEX</x:v>
      </x:c>
      <x:c r="O6" s="86" t="n">
        <x:f>IF(C6="OPEN",MAX(0,I6-TODAY()),"")</x:f>
        <x:v>37</x:v>
      </x:c>
      <x:c r="P6" s="87" t="n">
        <x:f>J6*K6*100</x:f>
        <x:v>520</x:v>
      </x:c>
    </x:row>
    <x:row r="7">
      <x:c r="A7" s="71" t="n">
        <x:v>3</x:v>
      </x:c>
      <x:c r="B7" s="71" t="str">
        <x:v>Spec</x:v>
      </x:c>
      <x:c r="C7" s="71" t="str">
        <x:v>OPEN</x:v>
      </x:c>
      <x:c r="D7" s="71" t="str">
        <x:v>Long</x:v>
      </x:c>
      <x:c r="E7" s="71" t="str">
        <x:v>IONS</x:v>
      </x:c>
      <x:c r="F7" s="71" t="str">
        <x:v>Call</x:v>
      </x:c>
      <x:c r="G7" s="71" t="str">
        <x:v>90</x:v>
      </x:c>
      <x:c r="H7" s="84" t="n">
        <x:v>46262</x:v>
      </x:c>
      <x:c r="I7" s="84" t="n">
        <x:v>46465</x:v>
      </x:c>
      <x:c r="J7" s="71" t="n">
        <x:v>1</x:v>
      </x:c>
      <x:c r="K7" s="85" t="n">
        <x:v>-7</x:v>
      </x:c>
      <x:c r="L7" s="71" t="str">
        <x:v>&gt;</x:v>
      </x:c>
      <x:c r="M7" s="71" t="str">
        <x:v>97.0</x:v>
      </x:c>
      <x:c r="N7" s="71" t="str">
        <x:v>BIOTECH</x:v>
      </x:c>
      <x:c r="O7" s="86" t="n">
        <x:f>IF(C7="OPEN",MAX(0,I7-TODAY()),"")</x:f>
        <x:v>191</x:v>
      </x:c>
      <x:c r="P7" s="87" t="n">
        <x:f>J7*K7*100</x:f>
        <x:v>-700</x:v>
      </x:c>
    </x:row>
    <x:row r="8">
      <x:c r="A8" s="71" t="n">
        <x:v>4</x:v>
      </x:c>
      <x:c r="B8" s="71" t="str">
        <x:v>Macro</x:v>
      </x:c>
      <x:c r="C8" s="71" t="str">
        <x:v>OPEN</x:v>
      </x:c>
      <x:c r="D8" s="71" t="str">
        <x:v>Long</x:v>
      </x:c>
      <x:c r="E8" s="71" t="str">
        <x:v>IBIT</x:v>
      </x:c>
      <x:c r="F8" s="71" t="str">
        <x:v>Call</x:v>
      </x:c>
      <x:c r="G8" s="71" t="str">
        <x:v>65</x:v>
      </x:c>
      <x:c r="H8" s="84" t="n">
        <x:v>46248</x:v>
      </x:c>
      <x:c r="I8" s="84" t="n">
        <x:v>46556</x:v>
      </x:c>
      <x:c r="J8" s="71" t="n">
        <x:v>1</x:v>
      </x:c>
      <x:c r="K8" s="85" t="n">
        <x:v>-8</x:v>
      </x:c>
      <x:c r="L8" s="71" t="str">
        <x:v>&gt;</x:v>
      </x:c>
      <x:c r="M8" s="71" t="str">
        <x:v>73.0</x:v>
      </x:c>
      <x:c r="N8" s="71" t="str">
        <x:v>CRYPTO</x:v>
      </x:c>
      <x:c r="O8" s="86" t="n">
        <x:f>IF(C8="OPEN",MAX(0,I8-TODAY()),"")</x:f>
        <x:v>282</x:v>
      </x:c>
      <x:c r="P8" s="87" t="n">
        <x:f>J8*K8*100</x:f>
        <x:v>-800</x:v>
      </x:c>
    </x:row>
    <x:row r="9">
      <x:c r="A9" s="71" t="n">
        <x:v>5</x:v>
      </x:c>
      <x:c r="B9" s="71" t="str">
        <x:v>Macro</x:v>
      </x:c>
      <x:c r="C9" s="71" t="str">
        <x:v>OPEN</x:v>
      </x:c>
      <x:c r="D9" s="71" t="str">
        <x:v>Short</x:v>
      </x:c>
      <x:c r="E9" s="71" t="str">
        <x:v>XLE</x:v>
      </x:c>
      <x:c r="F9" s="71" t="str">
        <x:v>Vput(dr)</x:v>
      </x:c>
      <x:c r="G9" s="71" t="str">
        <x:v>85/80</x:v>
      </x:c>
      <x:c r="H9" s="84" t="n">
        <x:v>46259</x:v>
      </x:c>
      <x:c r="I9" s="84" t="n">
        <x:v>46374</x:v>
      </x:c>
      <x:c r="J9" s="71" t="n">
        <x:v>2</x:v>
      </x:c>
      <x:c r="K9" s="85" t="n">
        <x:v>-1.65</x:v>
      </x:c>
      <x:c r="L9" s="71" t="str">
        <x:v>&lt;</x:v>
      </x:c>
      <x:c r="M9" s="71" t="str">
        <x:v>83.35</x:v>
      </x:c>
      <x:c r="N9" s="71" t="str">
        <x:v>ENERGY</x:v>
      </x:c>
      <x:c r="O9" s="86" t="n">
        <x:f>IF(C9="OPEN",MAX(0,I9-TODAY()),"")</x:f>
        <x:v>100</x:v>
      </x:c>
      <x:c r="P9" s="87" t="n">
        <x:f>J9*K9*100</x:f>
        <x:v>-330</x:v>
      </x:c>
    </x:row>
    <x:row r="10">
      <x:c r="A10" s="71" t="n">
        <x:v>6</x:v>
      </x:c>
      <x:c r="B10" s="71" t="str">
        <x:v>Income</x:v>
      </x:c>
      <x:c r="C10" s="71" t="str">
        <x:v>OPEN</x:v>
      </x:c>
      <x:c r="D10" s="71" t="str">
        <x:v>Short</x:v>
      </x:c>
      <x:c r="E10" s="71" t="str">
        <x:v>QQQ</x:v>
      </x:c>
      <x:c r="F10" s="71" t="str">
        <x:v>Vcall(cr)</x:v>
      </x:c>
      <x:c r="G10" s="71" t="str">
        <x:v>590/600</x:v>
      </x:c>
      <x:c r="H10" s="84" t="n">
        <x:v>46267</x:v>
      </x:c>
      <x:c r="I10" s="84" t="n">
        <x:v>46325</x:v>
      </x:c>
      <x:c r="J10" s="71" t="n">
        <x:v>1</x:v>
      </x:c>
      <x:c r="K10" s="85" t="n">
        <x:v>2.35</x:v>
      </x:c>
      <x:c r="L10" s="71" t="str">
        <x:v>&lt;</x:v>
      </x:c>
      <x:c r="M10" s="71" t="str">
        <x:v>592.35</x:v>
      </x:c>
      <x:c r="N10" s="71" t="str">
        <x:v>INDEX</x:v>
      </x:c>
      <x:c r="O10" s="86" t="n">
        <x:f>IF(C10="OPEN",MAX(0,I10-TODAY()),"")</x:f>
        <x:v>51</x:v>
      </x:c>
      <x:c r="P10" s="87" t="n">
        <x:f>J10*K10*100</x:f>
        <x:v>235</x:v>
      </x:c>
    </x:row>
    <x:row r="11">
      <x:c r="A11" s="71" t="n">
        <x:v>7</x:v>
      </x:c>
      <x:c r="B11" s="71" t="str">
        <x:v>Hedge</x:v>
      </x:c>
      <x:c r="C11" s="71" t="str">
        <x:v>OPEN</x:v>
      </x:c>
      <x:c r="D11" s="71" t="str">
        <x:v>Short</x:v>
      </x:c>
      <x:c r="E11" s="71" t="str">
        <x:v>SPY</x:v>
      </x:c>
      <x:c r="F11" s="71" t="str">
        <x:v>Put</x:v>
      </x:c>
      <x:c r="G11" s="71" t="str">
        <x:v>520</x:v>
      </x:c>
      <x:c r="H11" s="84" t="n">
        <x:v>46268</x:v>
      </x:c>
      <x:c r="I11" s="84" t="n">
        <x:v>46346</x:v>
      </x:c>
      <x:c r="J11" s="71" t="n">
        <x:v>2</x:v>
      </x:c>
      <x:c r="K11" s="85" t="n">
        <x:v>-3</x:v>
      </x:c>
      <x:c r="L11" s="71" t="str">
        <x:v>&lt;</x:v>
      </x:c>
      <x:c r="M11" s="71" t="str">
        <x:v>517.0</x:v>
      </x:c>
      <x:c r="N11" s="71" t="str">
        <x:v>HEDGE</x:v>
      </x:c>
      <x:c r="O11" s="86" t="n">
        <x:f>IF(C11="OPEN",MAX(0,I11-TODAY()),"")</x:f>
        <x:v>72</x:v>
      </x:c>
      <x:c r="P11" s="87" t="n">
        <x:f>J11*K11*100</x:f>
        <x:v>-600</x:v>
      </x:c>
    </x:row>
    <x:row r="12">
      <x:c r="A12" s="71" t="n">
        <x:v>8</x:v>
      </x:c>
      <x:c r="B12" s="71" t="str">
        <x:v>Trend</x:v>
      </x:c>
      <x:c r="C12" s="71" t="str">
        <x:v>OPEN</x:v>
      </x:c>
      <x:c r="D12" s="71" t="str">
        <x:v>Long</x:v>
      </x:c>
      <x:c r="E12" s="71" t="str">
        <x:v>VST</x:v>
      </x:c>
      <x:c r="F12" s="71" t="str">
        <x:v>Vcall(dr)</x:v>
      </x:c>
      <x:c r="G12" s="71" t="str">
        <x:v>210/230</x:v>
      </x:c>
      <x:c r="H12" s="84" t="n">
        <x:v>46252</x:v>
      </x:c>
      <x:c r="I12" s="84" t="n">
        <x:v>46437</x:v>
      </x:c>
      <x:c r="J12" s="71" t="n">
        <x:v>1</x:v>
      </x:c>
      <x:c r="K12" s="85" t="n">
        <x:v>-7</x:v>
      </x:c>
      <x:c r="L12" s="71" t="str">
        <x:v>&gt;</x:v>
      </x:c>
      <x:c r="M12" s="71" t="str">
        <x:v>217.0</x:v>
      </x:c>
      <x:c r="N12" s="71" t="str">
        <x:v>ENERGY</x:v>
      </x:c>
      <x:c r="O12" s="86" t="n">
        <x:f>IF(C12="OPEN",MAX(0,I12-TODAY()),"")</x:f>
        <x:v>163</x:v>
      </x:c>
      <x:c r="P12" s="87" t="n">
        <x:f>J12*K12*100</x:f>
        <x:v>-700</x:v>
      </x:c>
    </x:row>
    <x:row r="13">
      <x:c r="A13" s="71" t="n">
        <x:v>9</x:v>
      </x:c>
      <x:c r="B13" s="71" t="str">
        <x:v>Leap</x:v>
      </x:c>
      <x:c r="C13" s="71" t="str">
        <x:v>OPEN</x:v>
      </x:c>
      <x:c r="D13" s="71" t="str">
        <x:v>Long</x:v>
      </x:c>
      <x:c r="E13" s="71" t="str">
        <x:v>UBER</x:v>
      </x:c>
      <x:c r="F13" s="71" t="str">
        <x:v>Call</x:v>
      </x:c>
      <x:c r="G13" s="71" t="str">
        <x:v>120</x:v>
      </x:c>
      <x:c r="H13" s="84" t="n">
        <x:v>46233</x:v>
      </x:c>
      <x:c r="I13" s="84" t="n">
        <x:v>46647</x:v>
      </x:c>
      <x:c r="J13" s="71" t="n">
        <x:v>1</x:v>
      </x:c>
      <x:c r="K13" s="85" t="n">
        <x:v>-14</x:v>
      </x:c>
      <x:c r="L13" s="71" t="str">
        <x:v>&gt;</x:v>
      </x:c>
      <x:c r="M13" s="71" t="str">
        <x:v>134.0</x:v>
      </x:c>
      <x:c r="N13" s="71" t="str">
        <x:v>TECH</x:v>
      </x:c>
      <x:c r="O13" s="86" t="n">
        <x:f>IF(C13="OPEN",MAX(0,I13-TODAY()),"")</x:f>
        <x:v>373</x:v>
      </x:c>
      <x:c r="P13" s="87" t="n">
        <x:f>J13*K13*100</x:f>
        <x:v>-1400</x:v>
      </x:c>
    </x:row>
    <x:row r="14">
      <x:c r="A14" s="71" t="n">
        <x:v>10</x:v>
      </x:c>
      <x:c r="B14" s="71" t="str">
        <x:v>Spec</x:v>
      </x:c>
      <x:c r="C14" s="71" t="str">
        <x:v>OPEN</x:v>
      </x:c>
      <x:c r="D14" s="71" t="str">
        <x:v>Neutral</x:v>
      </x:c>
      <x:c r="E14" s="71" t="str">
        <x:v>TSLA</x:v>
      </x:c>
      <x:c r="F14" s="71" t="str">
        <x:v>Butterfly Call(dr)</x:v>
      </x:c>
      <x:c r="G14" s="71" t="str">
        <x:v>400/420/440</x:v>
      </x:c>
      <x:c r="H14" s="84" t="n">
        <x:v>46263</x:v>
      </x:c>
      <x:c r="I14" s="84" t="n">
        <x:v>46374</x:v>
      </x:c>
      <x:c r="J14" s="71" t="n">
        <x:v>1</x:v>
      </x:c>
      <x:c r="K14" s="85" t="n">
        <x:v>-4.5</x:v>
      </x:c>
      <x:c r="L14" s="71" t="str">
        <x:v>:</x:v>
      </x:c>
      <x:c r="M14" s="71" t="str">
        <x:v>404.5:435.5</x:v>
      </x:c>
      <x:c r="N14" s="71" t="str">
        <x:v>TECH</x:v>
      </x:c>
      <x:c r="O14" s="86" t="n">
        <x:f>IF(C14="OPEN",MAX(0,I14-TODAY()),"")</x:f>
        <x:v>100</x:v>
      </x:c>
      <x:c r="P14" s="87" t="n">
        <x:f>J14*K14*100</x:f>
        <x:v>-450</x:v>
      </x:c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</x:sheetData>
  <x:mergeCells>
    <x:mergeCell ref="A1:P2"/>
  </x:mergeCells>
  <x:pageMargins left="0.7" right="0.7" top="0.75" bottom="0.75" header="0.3" footer="0.3"/>
  <x:tableParts count="1">
    <x:tablePart xmlns:r="http://schemas.openxmlformats.org/officeDocument/2006/relationships" r:id="R4ae9cdfe14cd4b6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5" t="str">
        <x:v>DEMO MARKET DATA — SYNTHETIC INPUT LAYER</x:v>
      </x:c>
      <x:c r="B1" s="5"/>
      <x:c r="C1" s="5"/>
      <x:c r="D1" s="5"/>
      <x:c r="E1" s="5"/>
      <x:c r="F1" s="5"/>
      <x:c r="G1" s="5"/>
      <x:c r="H1" s="5"/>
      <x:c r="I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51" t="str">
        <x:v>Ticker</x:v>
      </x:c>
      <x:c r="B4" s="51" t="str">
        <x:v>Spot_$</x:v>
      </x:c>
      <x:c r="C4" s="51" t="str">
        <x:v>RVOL</x:v>
      </x:c>
      <x:c r="D4" s="51" t="str">
        <x:v>IV_Rank</x:v>
      </x:c>
      <x:c r="E4" s="51" t="str">
        <x:v>ATR_10_$</x:v>
      </x:c>
      <x:c r="F4" s="51" t="str">
        <x:v>Beta_vs_SPY</x:v>
      </x:c>
      <x:c r="G4" s="51" t="str">
        <x:v>Corr_vs_SPY</x:v>
      </x:c>
      <x:c r="H4" s="51" t="str">
        <x:v>Trend_State</x:v>
      </x:c>
      <x:c r="I4" s="51" t="str">
        <x:v>Source</x:v>
      </x:c>
    </x:row>
    <x:row r="5">
      <x:c r="A5" s="57" t="str">
        <x:v>NVDA</x:v>
      </x:c>
      <x:c r="B5" s="64" t="n">
        <x:v>185</x:v>
      </x:c>
      <x:c r="C5" s="66" t="n">
        <x:v>0.45</x:v>
      </x:c>
      <x:c r="D5" s="66" t="n">
        <x:v>0.58</x:v>
      </x:c>
      <x:c r="E5" s="92" t="n">
        <x:v>8</x:v>
      </x:c>
      <x:c r="F5" s="94" t="n">
        <x:v>1.7</x:v>
      </x:c>
      <x:c r="G5" s="94" t="n">
        <x:v>0.78</x:v>
      </x:c>
      <x:c r="H5" s="57" t="str">
        <x:v>GREEN</x:v>
      </x:c>
      <x:c r="I5" s="61" t="str">
        <x:v>Synthetic demo data</x:v>
      </x:c>
    </x:row>
    <x:row r="6">
      <x:c r="A6" s="57" t="str">
        <x:v>SPY</x:v>
      </x:c>
      <x:c r="B6" s="64" t="n">
        <x:v>550</x:v>
      </x:c>
      <x:c r="C6" s="66" t="n">
        <x:v>0.18</x:v>
      </x:c>
      <x:c r="D6" s="66" t="n">
        <x:v>0.42</x:v>
      </x:c>
      <x:c r="E6" s="92" t="n">
        <x:v>6</x:v>
      </x:c>
      <x:c r="F6" s="94" t="n">
        <x:v>1</x:v>
      </x:c>
      <x:c r="G6" s="94" t="n">
        <x:v>1</x:v>
      </x:c>
      <x:c r="H6" s="57" t="str">
        <x:v>GREEN</x:v>
      </x:c>
      <x:c r="I6" s="61" t="str">
        <x:v>Synthetic demo data</x:v>
      </x:c>
    </x:row>
    <x:row r="7">
      <x:c r="A7" s="57" t="str">
        <x:v>IONS</x:v>
      </x:c>
      <x:c r="B7" s="64" t="n">
        <x:v>88</x:v>
      </x:c>
      <x:c r="C7" s="66" t="n">
        <x:v>0.52</x:v>
      </x:c>
      <x:c r="D7" s="66" t="n">
        <x:v>0.68</x:v>
      </x:c>
      <x:c r="E7" s="92" t="n">
        <x:v>5</x:v>
      </x:c>
      <x:c r="F7" s="94" t="n">
        <x:v>0.65</x:v>
      </x:c>
      <x:c r="G7" s="94" t="n">
        <x:v>0.35</x:v>
      </x:c>
      <x:c r="H7" s="57" t="str">
        <x:v>YELLOW</x:v>
      </x:c>
      <x:c r="I7" s="61" t="str">
        <x:v>Synthetic demo data</x:v>
      </x:c>
    </x:row>
    <x:row r="8">
      <x:c r="A8" s="57" t="str">
        <x:v>IBIT</x:v>
      </x:c>
      <x:c r="B8" s="64" t="n">
        <x:v>68</x:v>
      </x:c>
      <x:c r="C8" s="66" t="n">
        <x:v>0.58</x:v>
      </x:c>
      <x:c r="D8" s="66" t="n">
        <x:v>0.55</x:v>
      </x:c>
      <x:c r="E8" s="92" t="n">
        <x:v>3.5</x:v>
      </x:c>
      <x:c r="F8" s="94" t="n">
        <x:v>2</x:v>
      </x:c>
      <x:c r="G8" s="94" t="n">
        <x:v>0.55</x:v>
      </x:c>
      <x:c r="H8" s="57" t="str">
        <x:v>GREEN</x:v>
      </x:c>
      <x:c r="I8" s="61" t="str">
        <x:v>Synthetic demo data</x:v>
      </x:c>
    </x:row>
    <x:row r="9">
      <x:c r="A9" s="57" t="str">
        <x:v>XLE</x:v>
      </x:c>
      <x:c r="B9" s="64" t="n">
        <x:v>88</x:v>
      </x:c>
      <x:c r="C9" s="66" t="n">
        <x:v>0.25</x:v>
      </x:c>
      <x:c r="D9" s="66" t="n">
        <x:v>0.35</x:v>
      </x:c>
      <x:c r="E9" s="92" t="n">
        <x:v>2.2</x:v>
      </x:c>
      <x:c r="F9" s="94" t="n">
        <x:v>0.9</x:v>
      </x:c>
      <x:c r="G9" s="94" t="n">
        <x:v>0.6</x:v>
      </x:c>
      <x:c r="H9" s="57" t="str">
        <x:v>YELLOW</x:v>
      </x:c>
      <x:c r="I9" s="61" t="str">
        <x:v>Synthetic demo data</x:v>
      </x:c>
    </x:row>
    <x:row r="10">
      <x:c r="A10" s="57" t="str">
        <x:v>QQQ</x:v>
      </x:c>
      <x:c r="B10" s="64" t="n">
        <x:v>575</x:v>
      </x:c>
      <x:c r="C10" s="66" t="n">
        <x:v>0.22</x:v>
      </x:c>
      <x:c r="D10" s="66" t="n">
        <x:v>0.48</x:v>
      </x:c>
      <x:c r="E10" s="92" t="n">
        <x:v>7</x:v>
      </x:c>
      <x:c r="F10" s="94" t="n">
        <x:v>1.2</x:v>
      </x:c>
      <x:c r="G10" s="94" t="n">
        <x:v>0.92</x:v>
      </x:c>
      <x:c r="H10" s="57" t="str">
        <x:v>RED</x:v>
      </x:c>
      <x:c r="I10" s="61" t="str">
        <x:v>Synthetic demo data</x:v>
      </x:c>
    </x:row>
    <x:row r="11">
      <x:c r="A11" s="57" t="str">
        <x:v>VST</x:v>
      </x:c>
      <x:c r="B11" s="64" t="n">
        <x:v>218</x:v>
      </x:c>
      <x:c r="C11" s="66" t="n">
        <x:v>0.38</x:v>
      </x:c>
      <x:c r="D11" s="66" t="n">
        <x:v>0.62</x:v>
      </x:c>
      <x:c r="E11" s="92" t="n">
        <x:v>9</x:v>
      </x:c>
      <x:c r="F11" s="94" t="n">
        <x:v>0.8</x:v>
      </x:c>
      <x:c r="G11" s="94" t="n">
        <x:v>0.4</x:v>
      </x:c>
      <x:c r="H11" s="57" t="str">
        <x:v>GREEN</x:v>
      </x:c>
      <x:c r="I11" s="61" t="str">
        <x:v>Synthetic demo data</x:v>
      </x:c>
    </x:row>
    <x:row r="12">
      <x:c r="A12" s="57" t="str">
        <x:v>UBER</x:v>
      </x:c>
      <x:c r="B12" s="64" t="n">
        <x:v>123</x:v>
      </x:c>
      <x:c r="C12" s="66" t="n">
        <x:v>0.34</x:v>
      </x:c>
      <x:c r="D12" s="66" t="n">
        <x:v>0.45</x:v>
      </x:c>
      <x:c r="E12" s="92" t="n">
        <x:v>4</x:v>
      </x:c>
      <x:c r="F12" s="94" t="n">
        <x:v>1.25</x:v>
      </x:c>
      <x:c r="G12" s="94" t="n">
        <x:v>0.65</x:v>
      </x:c>
      <x:c r="H12" s="57" t="str">
        <x:v>GREEN</x:v>
      </x:c>
      <x:c r="I12" s="61" t="str">
        <x:v>Synthetic demo data</x:v>
      </x:c>
    </x:row>
    <x:row r="13">
      <x:c r="A13" s="57" t="str">
        <x:v>TSLA</x:v>
      </x:c>
      <x:c r="B13" s="64" t="n">
        <x:v>412</x:v>
      </x:c>
      <x:c r="C13" s="66" t="n">
        <x:v>0.6</x:v>
      </x:c>
      <x:c r="D13" s="66" t="n">
        <x:v>0.72</x:v>
      </x:c>
      <x:c r="E13" s="92" t="n">
        <x:v>28</x:v>
      </x:c>
      <x:c r="F13" s="94" t="n">
        <x:v>2</x:v>
      </x:c>
      <x:c r="G13" s="94" t="n">
        <x:v>0.7</x:v>
      </x:c>
      <x:c r="H13" s="57" t="str">
        <x:v>YELLOW</x:v>
      </x:c>
      <x:c r="I13" s="61" t="str">
        <x:v>Synthetic demo data</x:v>
      </x:c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</x:row>
  </x:sheetData>
  <x:mergeCells>
    <x:mergeCell ref="A1:I2"/>
  </x:mergeCells>
  <x:conditionalFormatting sqref="H5:H13">
    <x:cfRule type="expression" dxfId="0" priority="1">
      <x:formula>H5="GREEN"</x:formula>
    </x:cfRule>
    <x:cfRule type="expression" dxfId="1" priority="2">
      <x:formula>H5="YELLOW"</x:formula>
    </x:cfRule>
    <x:cfRule type="expression" dxfId="2" priority="3">
      <x:formula>H5="RED"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333f83d753a4b8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1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4" hidden="0" customWidth="1"/>
    <x:col min="12" max="12" width="14" hidden="0" customWidth="1"/>
  </x:cols>
  <x:sheetData>
    <x:row r="1">
      <x:c r="A1" s="5" t="str">
        <x:v>OPTION LEG DATA — SYNTHETIC REPLACEMENT FOR LICENSED VENDOR DATA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51" t="str">
        <x:v>Key</x:v>
      </x:c>
      <x:c r="B4" s="51" t="str">
        <x:v>Trade_ID</x:v>
      </x:c>
      <x:c r="C4" s="51" t="str">
        <x:v>Leg_Num</x:v>
      </x:c>
      <x:c r="D4" s="51" t="str">
        <x:v>Mid_$</x:v>
      </x:c>
      <x:c r="E4" s="51" t="str">
        <x:v>Delta</x:v>
      </x:c>
      <x:c r="F4" s="51" t="str">
        <x:v>Theta_$/day</x:v>
      </x:c>
      <x:c r="G4" s="51" t="str">
        <x:v>Vega_$/pt</x:v>
      </x:c>
      <x:c r="H4" s="51" t="str">
        <x:v>Gamma</x:v>
      </x:c>
      <x:c r="I4" s="51" t="str">
        <x:v>IV</x:v>
      </x:c>
      <x:c r="J4" s="51" t="str">
        <x:v>Skew_Pctl</x:v>
      </x:c>
      <x:c r="K4" s="51" t="str">
        <x:v>Quality</x:v>
      </x:c>
      <x:c r="L4" s="51" t="str">
        <x:v>Source</x:v>
      </x:c>
    </x:row>
    <x:row r="5">
      <x:c r="A5" s="57" t="str">
        <x:v>1-1</x:v>
      </x:c>
      <x:c r="B5" s="57" t="n">
        <x:v>1</x:v>
      </x:c>
      <x:c r="C5" s="57" t="n">
        <x:v>1</x:v>
      </x:c>
      <x:c r="D5" s="94" t="n">
        <x:v>12.5</x:v>
      </x:c>
      <x:c r="E5" s="96" t="n">
        <x:v>0.64</x:v>
      </x:c>
      <x:c r="F5" s="96" t="n">
        <x:v>-0.055</x:v>
      </x:c>
      <x:c r="G5" s="96" t="n">
        <x:v>0.23</x:v>
      </x:c>
      <x:c r="H5" s="96" t="n">
        <x:v>0.012</x:v>
      </x:c>
      <x:c r="I5" s="96" t="n">
        <x:v>0.48</x:v>
      </x:c>
      <x:c r="J5" s="96" t="n">
        <x:v>0.55</x:v>
      </x:c>
      <x:c r="K5" s="57" t="str">
        <x:v>OK</x:v>
      </x:c>
      <x:c r="L5" s="61" t="str">
        <x:v>Synthetic</x:v>
      </x:c>
    </x:row>
    <x:row r="6">
      <x:c r="A6" s="57" t="str">
        <x:v>1-2</x:v>
      </x:c>
      <x:c r="B6" s="57" t="n">
        <x:v>1</x:v>
      </x:c>
      <x:c r="C6" s="57" t="n">
        <x:v>2</x:v>
      </x:c>
      <x:c r="D6" s="94" t="n">
        <x:v>4.8</x:v>
      </x:c>
      <x:c r="E6" s="96" t="n">
        <x:v>0.34</x:v>
      </x:c>
      <x:c r="F6" s="96" t="n">
        <x:v>-0.042</x:v>
      </x:c>
      <x:c r="G6" s="96" t="n">
        <x:v>0.19</x:v>
      </x:c>
      <x:c r="H6" s="96" t="n">
        <x:v>0.011</x:v>
      </x:c>
      <x:c r="I6" s="96" t="n">
        <x:v>0.46</x:v>
      </x:c>
      <x:c r="J6" s="96" t="n">
        <x:v>0.52</x:v>
      </x:c>
      <x:c r="K6" s="57" t="str">
        <x:v>OK</x:v>
      </x:c>
      <x:c r="L6" s="61" t="str">
        <x:v>Synthetic</x:v>
      </x:c>
    </x:row>
    <x:row r="7">
      <x:c r="A7" s="57" t="str">
        <x:v>2-1</x:v>
      </x:c>
      <x:c r="B7" s="57" t="n">
        <x:v>2</x:v>
      </x:c>
      <x:c r="C7" s="57" t="n">
        <x:v>1</x:v>
      </x:c>
      <x:c r="D7" s="94" t="n">
        <x:v>4.2</x:v>
      </x:c>
      <x:c r="E7" s="96" t="n">
        <x:v>-0.25</x:v>
      </x:c>
      <x:c r="F7" s="96" t="n">
        <x:v>-0.15</x:v>
      </x:c>
      <x:c r="G7" s="96" t="n">
        <x:v>0.18</x:v>
      </x:c>
      <x:c r="H7" s="96" t="n">
        <x:v>0.01</x:v>
      </x:c>
      <x:c r="I7" s="96" t="n">
        <x:v>0.22</x:v>
      </x:c>
      <x:c r="J7" s="96" t="n">
        <x:v>0.46</x:v>
      </x:c>
      <x:c r="K7" s="57" t="str">
        <x:v>OK</x:v>
      </x:c>
      <x:c r="L7" s="61" t="str">
        <x:v>Synthetic</x:v>
      </x:c>
    </x:row>
    <x:row r="8">
      <x:c r="A8" s="57" t="str">
        <x:v>2-2</x:v>
      </x:c>
      <x:c r="B8" s="57" t="n">
        <x:v>2</x:v>
      </x:c>
      <x:c r="C8" s="57" t="n">
        <x:v>2</x:v>
      </x:c>
      <x:c r="D8" s="94" t="n">
        <x:v>1.8</x:v>
      </x:c>
      <x:c r="E8" s="96" t="n">
        <x:v>-0.15</x:v>
      </x:c>
      <x:c r="F8" s="96" t="n">
        <x:v>-0.095</x:v>
      </x:c>
      <x:c r="G8" s="96" t="n">
        <x:v>0.13</x:v>
      </x:c>
      <x:c r="H8" s="96" t="n">
        <x:v>0.008</x:v>
      </x:c>
      <x:c r="I8" s="96" t="n">
        <x:v>0.23</x:v>
      </x:c>
      <x:c r="J8" s="96" t="n">
        <x:v>0.48</x:v>
      </x:c>
      <x:c r="K8" s="57" t="str">
        <x:v>OK</x:v>
      </x:c>
      <x:c r="L8" s="61" t="str">
        <x:v>Synthetic</x:v>
      </x:c>
    </x:row>
    <x:row r="9">
      <x:c r="A9" s="57" t="str">
        <x:v>3-1</x:v>
      </x:c>
      <x:c r="B9" s="57" t="n">
        <x:v>3</x:v>
      </x:c>
      <x:c r="C9" s="57" t="n">
        <x:v>1</x:v>
      </x:c>
      <x:c r="D9" s="94" t="n">
        <x:v>8.5</x:v>
      </x:c>
      <x:c r="E9" s="96" t="n">
        <x:v>0.58</x:v>
      </x:c>
      <x:c r="F9" s="96" t="n">
        <x:v>-0.035</x:v>
      </x:c>
      <x:c r="G9" s="96" t="n">
        <x:v>0.28</x:v>
      </x:c>
      <x:c r="H9" s="96" t="n">
        <x:v>0.018</x:v>
      </x:c>
      <x:c r="I9" s="96" t="n">
        <x:v>0.55</x:v>
      </x:c>
      <x:c r="J9" s="96" t="n">
        <x:v>0.67</x:v>
      </x:c>
      <x:c r="K9" s="57" t="str">
        <x:v>OK</x:v>
      </x:c>
      <x:c r="L9" s="61" t="str">
        <x:v>Synthetic</x:v>
      </x:c>
    </x:row>
    <x:row r="10">
      <x:c r="A10" s="57" t="str">
        <x:v>4-1</x:v>
      </x:c>
      <x:c r="B10" s="57" t="n">
        <x:v>4</x:v>
      </x:c>
      <x:c r="C10" s="57" t="n">
        <x:v>1</x:v>
      </x:c>
      <x:c r="D10" s="94" t="n">
        <x:v>9.8</x:v>
      </x:c>
      <x:c r="E10" s="96" t="n">
        <x:v>0.61</x:v>
      </x:c>
      <x:c r="F10" s="96" t="n">
        <x:v>-0.025</x:v>
      </x:c>
      <x:c r="G10" s="96" t="n">
        <x:v>0.31</x:v>
      </x:c>
      <x:c r="H10" s="96" t="n">
        <x:v>0.014</x:v>
      </x:c>
      <x:c r="I10" s="96" t="n">
        <x:v>0.62</x:v>
      </x:c>
      <x:c r="J10" s="96" t="n">
        <x:v>0.58</x:v>
      </x:c>
      <x:c r="K10" s="57" t="str">
        <x:v>OK</x:v>
      </x:c>
      <x:c r="L10" s="61" t="str">
        <x:v>Synthetic</x:v>
      </x:c>
    </x:row>
    <x:row r="11">
      <x:c r="A11" s="57" t="str">
        <x:v>5-1</x:v>
      </x:c>
      <x:c r="B11" s="57" t="n">
        <x:v>5</x:v>
      </x:c>
      <x:c r="C11" s="57" t="n">
        <x:v>1</x:v>
      </x:c>
      <x:c r="D11" s="94" t="n">
        <x:v>2.4</x:v>
      </x:c>
      <x:c r="E11" s="96" t="n">
        <x:v>-0.31</x:v>
      </x:c>
      <x:c r="F11" s="96" t="n">
        <x:v>-0.025</x:v>
      </x:c>
      <x:c r="G11" s="96" t="n">
        <x:v>0.12</x:v>
      </x:c>
      <x:c r="H11" s="96" t="n">
        <x:v>0.022</x:v>
      </x:c>
      <x:c r="I11" s="96" t="n">
        <x:v>0.3</x:v>
      </x:c>
      <x:c r="J11" s="96" t="n">
        <x:v>0.44</x:v>
      </x:c>
      <x:c r="K11" s="57" t="str">
        <x:v>OK</x:v>
      </x:c>
      <x:c r="L11" s="61" t="str">
        <x:v>Synthetic</x:v>
      </x:c>
    </x:row>
    <x:row r="12">
      <x:c r="A12" s="57" t="str">
        <x:v>5-2</x:v>
      </x:c>
      <x:c r="B12" s="57" t="n">
        <x:v>5</x:v>
      </x:c>
      <x:c r="C12" s="57" t="n">
        <x:v>2</x:v>
      </x:c>
      <x:c r="D12" s="94" t="n">
        <x:v>1</x:v>
      </x:c>
      <x:c r="E12" s="96" t="n">
        <x:v>-0.17</x:v>
      </x:c>
      <x:c r="F12" s="96" t="n">
        <x:v>-0.018</x:v>
      </x:c>
      <x:c r="G12" s="96" t="n">
        <x:v>0.1</x:v>
      </x:c>
      <x:c r="H12" s="96" t="n">
        <x:v>0.016</x:v>
      </x:c>
      <x:c r="I12" s="96" t="n">
        <x:v>0.31</x:v>
      </x:c>
      <x:c r="J12" s="96" t="n">
        <x:v>0.46</x:v>
      </x:c>
      <x:c r="K12" s="57" t="str">
        <x:v>OK</x:v>
      </x:c>
      <x:c r="L12" s="61" t="str">
        <x:v>Synthetic</x:v>
      </x:c>
    </x:row>
    <x:row r="13">
      <x:c r="A13" s="57" t="str">
        <x:v>6-1</x:v>
      </x:c>
      <x:c r="B13" s="57" t="n">
        <x:v>6</x:v>
      </x:c>
      <x:c r="C13" s="57" t="n">
        <x:v>1</x:v>
      </x:c>
      <x:c r="D13" s="94" t="n">
        <x:v>4.5</x:v>
      </x:c>
      <x:c r="E13" s="96" t="n">
        <x:v>0.32</x:v>
      </x:c>
      <x:c r="F13" s="96" t="n">
        <x:v>-0.09</x:v>
      </x:c>
      <x:c r="G13" s="96" t="n">
        <x:v>0.18</x:v>
      </x:c>
      <x:c r="H13" s="96" t="n">
        <x:v>0.009</x:v>
      </x:c>
      <x:c r="I13" s="96" t="n">
        <x:v>0.25</x:v>
      </x:c>
      <x:c r="J13" s="96" t="n">
        <x:v>0.5</x:v>
      </x:c>
      <x:c r="K13" s="57" t="str">
        <x:v>OK</x:v>
      </x:c>
      <x:c r="L13" s="61" t="str">
        <x:v>Synthetic</x:v>
      </x:c>
    </x:row>
    <x:row r="14">
      <x:c r="A14" s="57" t="str">
        <x:v>6-2</x:v>
      </x:c>
      <x:c r="B14" s="57" t="n">
        <x:v>6</x:v>
      </x:c>
      <x:c r="C14" s="57" t="n">
        <x:v>2</x:v>
      </x:c>
      <x:c r="D14" s="94" t="n">
        <x:v>2.4</x:v>
      </x:c>
      <x:c r="E14" s="96" t="n">
        <x:v>0.2</x:v>
      </x:c>
      <x:c r="F14" s="96" t="n">
        <x:v>-0.065</x:v>
      </x:c>
      <x:c r="G14" s="96" t="n">
        <x:v>0.14</x:v>
      </x:c>
      <x:c r="H14" s="96" t="n">
        <x:v>0.007</x:v>
      </x:c>
      <x:c r="I14" s="96" t="n">
        <x:v>0.26</x:v>
      </x:c>
      <x:c r="J14" s="96" t="n">
        <x:v>0.52</x:v>
      </x:c>
      <x:c r="K14" s="57" t="str">
        <x:v>OK</x:v>
      </x:c>
      <x:c r="L14" s="61" t="str">
        <x:v>Synthetic</x:v>
      </x:c>
    </x:row>
    <x:row r="15">
      <x:c r="A15" s="57" t="str">
        <x:v>7-1</x:v>
      </x:c>
      <x:c r="B15" s="57" t="n">
        <x:v>7</x:v>
      </x:c>
      <x:c r="C15" s="57" t="n">
        <x:v>1</x:v>
      </x:c>
      <x:c r="D15" s="94" t="n">
        <x:v>2.5</x:v>
      </x:c>
      <x:c r="E15" s="96" t="n">
        <x:v>-0.18</x:v>
      </x:c>
      <x:c r="F15" s="96" t="n">
        <x:v>-0.06</x:v>
      </x:c>
      <x:c r="G15" s="96" t="n">
        <x:v>0.19</x:v>
      </x:c>
      <x:c r="H15" s="96" t="n">
        <x:v>0.009</x:v>
      </x:c>
      <x:c r="I15" s="96" t="n">
        <x:v>0.24</x:v>
      </x:c>
      <x:c r="J15" s="96" t="n">
        <x:v>0.49</x:v>
      </x:c>
      <x:c r="K15" s="57" t="str">
        <x:v>OK</x:v>
      </x:c>
      <x:c r="L15" s="61" t="str">
        <x:v>Synthetic</x:v>
      </x:c>
    </x:row>
    <x:row r="16">
      <x:c r="A16" s="57" t="str">
        <x:v>8-1</x:v>
      </x:c>
      <x:c r="B16" s="57" t="n">
        <x:v>8</x:v>
      </x:c>
      <x:c r="C16" s="57" t="n">
        <x:v>1</x:v>
      </x:c>
      <x:c r="D16" s="94" t="n">
        <x:v>12</x:v>
      </x:c>
      <x:c r="E16" s="96" t="n">
        <x:v>0.62</x:v>
      </x:c>
      <x:c r="F16" s="96" t="n">
        <x:v>-0.04</x:v>
      </x:c>
      <x:c r="G16" s="96" t="n">
        <x:v>0.25</x:v>
      </x:c>
      <x:c r="H16" s="96" t="n">
        <x:v>0.013</x:v>
      </x:c>
      <x:c r="I16" s="96" t="n">
        <x:v>0.42</x:v>
      </x:c>
      <x:c r="J16" s="96" t="n">
        <x:v>0.61</x:v>
      </x:c>
      <x:c r="K16" s="57" t="str">
        <x:v>OK</x:v>
      </x:c>
      <x:c r="L16" s="61" t="str">
        <x:v>Synthetic</x:v>
      </x:c>
    </x:row>
    <x:row r="17">
      <x:c r="A17" s="57" t="str">
        <x:v>8-2</x:v>
      </x:c>
      <x:c r="B17" s="57" t="n">
        <x:v>8</x:v>
      </x:c>
      <x:c r="C17" s="57" t="n">
        <x:v>2</x:v>
      </x:c>
      <x:c r="D17" s="94" t="n">
        <x:v>5.8</x:v>
      </x:c>
      <x:c r="E17" s="96" t="n">
        <x:v>0.37</x:v>
      </x:c>
      <x:c r="F17" s="96" t="n">
        <x:v>-0.034</x:v>
      </x:c>
      <x:c r="G17" s="96" t="n">
        <x:v>0.22</x:v>
      </x:c>
      <x:c r="H17" s="96" t="n">
        <x:v>0.012</x:v>
      </x:c>
      <x:c r="I17" s="96" t="n">
        <x:v>0.41</x:v>
      </x:c>
      <x:c r="J17" s="96" t="n">
        <x:v>0.59</x:v>
      </x:c>
      <x:c r="K17" s="57" t="str">
        <x:v>OK</x:v>
      </x:c>
      <x:c r="L17" s="61" t="str">
        <x:v>Synthetic</x:v>
      </x:c>
    </x:row>
    <x:row r="18">
      <x:c r="A18" s="57" t="str">
        <x:v>9-1</x:v>
      </x:c>
      <x:c r="B18" s="57" t="n">
        <x:v>9</x:v>
      </x:c>
      <x:c r="C18" s="57" t="n">
        <x:v>1</x:v>
      </x:c>
      <x:c r="D18" s="94" t="n">
        <x:v>15.8</x:v>
      </x:c>
      <x:c r="E18" s="96" t="n">
        <x:v>0.62</x:v>
      </x:c>
      <x:c r="F18" s="96" t="n">
        <x:v>-0.02</x:v>
      </x:c>
      <x:c r="G18" s="96" t="n">
        <x:v>0.33</x:v>
      </x:c>
      <x:c r="H18" s="96" t="n">
        <x:v>0.01</x:v>
      </x:c>
      <x:c r="I18" s="96" t="n">
        <x:v>0.37</x:v>
      </x:c>
      <x:c r="J18" s="96" t="n">
        <x:v>0.45</x:v>
      </x:c>
      <x:c r="K18" s="57" t="str">
        <x:v>OK</x:v>
      </x:c>
      <x:c r="L18" s="61" t="str">
        <x:v>Synthetic</x:v>
      </x:c>
    </x:row>
    <x:row r="19">
      <x:c r="A19" s="57" t="str">
        <x:v>10-1</x:v>
      </x:c>
      <x:c r="B19" s="57" t="n">
        <x:v>10</x:v>
      </x:c>
      <x:c r="C19" s="57" t="n">
        <x:v>1</x:v>
      </x:c>
      <x:c r="D19" s="94" t="n">
        <x:v>28</x:v>
      </x:c>
      <x:c r="E19" s="96" t="n">
        <x:v>0.64</x:v>
      </x:c>
      <x:c r="F19" s="96" t="n">
        <x:v>-0.11</x:v>
      </x:c>
      <x:c r="G19" s="96" t="n">
        <x:v>0.35</x:v>
      </x:c>
      <x:c r="H19" s="96" t="n">
        <x:v>0.009</x:v>
      </x:c>
      <x:c r="I19" s="96" t="n">
        <x:v>0.64</x:v>
      </x:c>
      <x:c r="J19" s="96" t="n">
        <x:v>0.71</x:v>
      </x:c>
      <x:c r="K19" s="57" t="str">
        <x:v>OK</x:v>
      </x:c>
      <x:c r="L19" s="61" t="str">
        <x:v>Synthetic</x:v>
      </x:c>
    </x:row>
    <x:row r="20">
      <x:c r="A20" s="57" t="str">
        <x:v>10-2</x:v>
      </x:c>
      <x:c r="B20" s="57" t="n">
        <x:v>10</x:v>
      </x:c>
      <x:c r="C20" s="57" t="n">
        <x:v>2</x:v>
      </x:c>
      <x:c r="D20" s="94" t="n">
        <x:v>20</x:v>
      </x:c>
      <x:c r="E20" s="96" t="n">
        <x:v>0.48</x:v>
      </x:c>
      <x:c r="F20" s="96" t="n">
        <x:v>-0.12</x:v>
      </x:c>
      <x:c r="G20" s="96" t="n">
        <x:v>0.36</x:v>
      </x:c>
      <x:c r="H20" s="96" t="n">
        <x:v>0.01</x:v>
      </x:c>
      <x:c r="I20" s="96" t="n">
        <x:v>0.63</x:v>
      </x:c>
      <x:c r="J20" s="96" t="n">
        <x:v>0.72</x:v>
      </x:c>
      <x:c r="K20" s="57" t="str">
        <x:v>OK</x:v>
      </x:c>
      <x:c r="L20" s="61" t="str">
        <x:v>Synthetic</x:v>
      </x:c>
    </x:row>
    <x:row r="21">
      <x:c r="A21" s="57" t="str">
        <x:v>10-3</x:v>
      </x:c>
      <x:c r="B21" s="57" t="n">
        <x:v>10</x:v>
      </x:c>
      <x:c r="C21" s="57" t="n">
        <x:v>3</x:v>
      </x:c>
      <x:c r="D21" s="94" t="n">
        <x:v>14</x:v>
      </x:c>
      <x:c r="E21" s="96" t="n">
        <x:v>0.34</x:v>
      </x:c>
      <x:c r="F21" s="96" t="n">
        <x:v>-0.1</x:v>
      </x:c>
      <x:c r="G21" s="96" t="n">
        <x:v>0.33</x:v>
      </x:c>
      <x:c r="H21" s="96" t="n">
        <x:v>0.009</x:v>
      </x:c>
      <x:c r="I21" s="96" t="n">
        <x:v>0.62</x:v>
      </x:c>
      <x:c r="J21" s="96" t="n">
        <x:v>0.73</x:v>
      </x:c>
      <x:c r="K21" s="57" t="str">
        <x:v>OK</x:v>
      </x:c>
      <x:c r="L21" s="61" t="str">
        <x:v>Synthetic</x:v>
      </x:c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</x:sheetData>
  <x:mergeCells>
    <x:mergeCell ref="A1:L2"/>
  </x:mergeCells>
  <x:pageMargins left="0.7" right="0.7" top="0.75" bottom="0.75" header="0.3" footer="0.3"/>
  <x:tableParts count="1">
    <x:tablePart xmlns:r="http://schemas.openxmlformats.org/officeDocument/2006/relationships" r:id="Rd7d22708d7f8479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0" hidden="0" customWidth="1"/>
    <x:col min="3" max="3" width="18" hidden="0" customWidth="1"/>
    <x:col min="4" max="4" width="9" hidden="0" customWidth="1"/>
    <x:col min="5" max="5" width="9" hidden="0" customWidth="1"/>
    <x:col min="6" max="6" width="10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1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8" hidden="0" customWidth="1"/>
    <x:col min="23" max="23" width="12" hidden="0" customWidth="1"/>
    <x:col min="24" max="24" width="12" hidden="0" customWidth="1"/>
    <x:col min="25" max="25" width="12" hidden="0" customWidth="1"/>
    <x:col min="26" max="26" width="14" hidden="0" customWidth="1"/>
  </x:cols>
  <x:sheetData>
    <x:row r="1">
      <x:c r="A1" s="5" t="str">
        <x:v>RISK VIEW — MULTI-LEG DECOMPOSITION &amp; GREEKS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51" t="str">
        <x:v>Trade_ID</x:v>
      </x:c>
      <x:c r="B4" s="51" t="str">
        <x:v>Ticker</x:v>
      </x:c>
      <x:c r="C4" s="51" t="str">
        <x:v>Structure</x:v>
      </x:c>
      <x:c r="D4" s="51" t="str">
        <x:v>DTE</x:v>
      </x:c>
      <x:c r="E4" s="51" t="str">
        <x:v>Leg_Num</x:v>
      </x:c>
      <x:c r="F4" s="51" t="str">
        <x:v>Leg_Count</x:v>
      </x:c>
      <x:c r="G4" s="51" t="str">
        <x:v>Option_Type</x:v>
      </x:c>
      <x:c r="H4" s="51" t="str">
        <x:v>Side</x:v>
      </x:c>
      <x:c r="I4" s="51" t="str">
        <x:v>Strike</x:v>
      </x:c>
      <x:c r="J4" s="51" t="str">
        <x:v>Contracts</x:v>
      </x:c>
      <x:c r="K4" s="51" t="str">
        <x:v>Signed_Qty</x:v>
      </x:c>
      <x:c r="L4" s="51" t="str">
        <x:v>Mid_$</x:v>
      </x:c>
      <x:c r="M4" s="51" t="str">
        <x:v>Delta</x:v>
      </x:c>
      <x:c r="N4" s="51" t="str">
        <x:v>Theta</x:v>
      </x:c>
      <x:c r="O4" s="51" t="str">
        <x:v>Vega</x:v>
      </x:c>
      <x:c r="P4" s="51" t="str">
        <x:v>Gamma</x:v>
      </x:c>
      <x:c r="Q4" s="51" t="str">
        <x:v>IV</x:v>
      </x:c>
      <x:c r="R4" s="51" t="str">
        <x:v>Net_Delta</x:v>
      </x:c>
      <x:c r="S4" s="51" t="str">
        <x:v>Net_Theta</x:v>
      </x:c>
      <x:c r="T4" s="51" t="str">
        <x:v>Net_Vega</x:v>
      </x:c>
      <x:c r="U4" s="51" t="str">
        <x:v>Net_Gamma</x:v>
      </x:c>
      <x:c r="V4" s="51" t="str">
        <x:v>Current_Market_Value_$</x:v>
      </x:c>
      <x:c r="W4" s="51" t="str">
        <x:v>Factor</x:v>
      </x:c>
      <x:c r="X4" s="51" t="str">
        <x:v>Strategy</x:v>
      </x:c>
      <x:c r="Y4" s="51" t="str">
        <x:v>Journal_Row</x:v>
      </x:c>
      <x:c r="Z4" s="51" t="str">
        <x:v>Leg_Token</x:v>
      </x:c>
    </x:row>
    <x:row r="5">
      <x:c r="A5" s="20" t="n">
        <x:f>INDEX(Options_Journal!$A$5:$A$14,INT((ROW()-5)/3)+5-4)</x:f>
        <x:v>1</x:v>
      </x:c>
      <x:c r="B5" s="20" t="str">
        <x:f>INDEX(Options_Journal!$E$5:$E$14,INT((ROW()-5)/3)+5-4)</x:f>
        <x:v>NVDA</x:v>
      </x:c>
      <x:c r="C5" s="20" t="str">
        <x:f>INDEX(Options_Journal!$F$5:$F$14,INT((ROW()-5)/3)+5-4)</x:f>
        <x:v>Vcall(dr)</x:v>
      </x:c>
      <x:c r="D5" s="20" t="n">
        <x:f>INDEX(Options_Journal!$O$5:$O$14,INT((ROW()-5)/3)+5-4)</x:f>
        <x:v>128</x:v>
      </x:c>
      <x:c r="E5" s="20" t="n">
        <x:f>MOD(ROW()-5,3)+1</x:f>
        <x:v>1</x:v>
      </x:c>
      <x:c r="F5" s="20" t="n">
        <x:f>IF(ISNUMBER(SEARCH("butterfly",C5)),3,IF(OR(ISNUMBER(SEARCH("vcall",C5)),ISNUMBER(SEARCH("vput",C5)),ISNUMBER(SEARCH("vertical",C5))),2,1))</x:f>
        <x:v>2</x:v>
      </x:c>
      <x:c r="G5" s="20" t="str">
        <x:f>IF(E5&gt;F5,"",IF(ISNUMBER(SEARCH("call",C5)),"CALL",IF(ISNUMBER(SEARCH("put",C5)),"PUT","REVIEW")))</x:f>
        <x:v>CALL</x:v>
      </x:c>
      <x:c r="H5" s="20" t="str">
        <x:f>IF(E5&gt;F5,"",IF(F5=1,IF(INDEX(Options_Journal!$K$5:$K$14,INT((ROW()-5)/3)+5-4)&lt;0,"Long","Short"),IF(F5=3,IF(E5=2,"Short","Long"),IF(ISNUMBER(SEARCH("(cr)",C5)),IF(E5=1,"Short","Long"),IF(ISNUMBER(SEARCH("(dr)",C5)),IF(E5=1,"Long","Short"),"Review")))))</x:f>
        <x:v>Long</x:v>
      </x:c>
      <x:c r="I5" s="20" t="n">
        <x:f>IF(E5&gt;F5,"",IFERROR(VALUE(IF(E5=1,IFERROR(LEFT(INDEX(Options_Journal!$G$5:$G$14,INT((ROW()-5)/3)+5-4),FIND("/",INDEX(Options_Journal!$G$5:$G$14,INT((ROW()-5)/3)+5-4))-1),INDEX(Options_Journal!$G$5:$G$14,INT((ROW()-5)/3)+5-4)),IF(E5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180</x:v>
      </x:c>
      <x:c r="J5" s="20" t="n">
        <x:f>IF(E5&gt;F5,"",INDEX(Options_Journal!$J$5:$J$14,INT((ROW()-5)/3)+5-4)*IF(AND(F5=3,E5=2),2,1))</x:f>
        <x:v>1</x:v>
      </x:c>
      <x:c r="K5" s="20" t="n">
        <x:f>IF(H5="","",J5*IF(H5="Long",1,-1))</x:f>
        <x:v>1</x:v>
      </x:c>
      <x:c r="L5" s="98" t="n">
        <x:f>IF(E5&gt;F5,"",IFERROR(XLOOKUP(A5&amp;"-"&amp;E5,Option_Data_Demo!$A$5:$A$21,Option_Data_Demo!$D$5:$D$21),""))</x:f>
        <x:v>12.5</x:v>
      </x:c>
      <x:c r="M5" s="100" t="n">
        <x:f>IF(L5="","",XLOOKUP(A5&amp;"-"&amp;E5,Option_Data_Demo!$A$5:$A$21,Option_Data_Demo!$E$5:$E$21))</x:f>
        <x:v>0.64</x:v>
      </x:c>
      <x:c r="N5" s="100" t="n">
        <x:f>IF(L5="","",XLOOKUP(A5&amp;"-"&amp;E5,Option_Data_Demo!$A$5:$A$21,Option_Data_Demo!$F$5:$F$21))</x:f>
        <x:v>-0.055</x:v>
      </x:c>
      <x:c r="O5" s="100" t="n">
        <x:f>IF(L5="","",XLOOKUP(A5&amp;"-"&amp;E5,Option_Data_Demo!$A$5:$A$21,Option_Data_Demo!$G$5:$G$21))</x:f>
        <x:v>0.23</x:v>
      </x:c>
      <x:c r="P5" s="100" t="n">
        <x:f>IF(L5="","",XLOOKUP(A5&amp;"-"&amp;E5,Option_Data_Demo!$A$5:$A$21,Option_Data_Demo!$H$5:$H$21))</x:f>
        <x:v>0.012</x:v>
      </x:c>
      <x:c r="Q5" s="100" t="n">
        <x:f>IF(L5="","",XLOOKUP(A5&amp;"-"&amp;E5,Option_Data_Demo!$A$5:$A$21,Option_Data_Demo!$I$5:$I$21))</x:f>
        <x:v>0.48</x:v>
      </x:c>
      <x:c r="R5" s="82" t="n">
        <x:f>IF(L5="","",M5*K5*100)</x:f>
        <x:v>64</x:v>
      </x:c>
      <x:c r="S5" s="82" t="n">
        <x:f>IF(L5="","",N5*K5*100)</x:f>
        <x:v>-5.5</x:v>
      </x:c>
      <x:c r="T5" s="82" t="n">
        <x:f>IF(L5="","",O5*K5*100)</x:f>
        <x:v>23</x:v>
      </x:c>
      <x:c r="U5" s="82" t="n">
        <x:f>IF(L5="","",P5*K5*100)</x:f>
        <x:v>1.2</x:v>
      </x:c>
      <x:c r="V5" s="82" t="n">
        <x:f>IF(L5="","",L5*K5*100)</x:f>
        <x:v>1250</x:v>
      </x:c>
      <x:c r="W5" s="20" t="str">
        <x:f>INDEX(Options_Journal!$N$5:$N$14,INT((ROW()-5)/3)+5-4)</x:f>
        <x:v>AI</x:v>
      </x:c>
      <x:c r="X5" s="20" t="str">
        <x:f>INDEX(Options_Journal!$B$5:$B$14,INT((ROW()-5)/3)+5-4)</x:f>
        <x:v>Trend</x:v>
      </x:c>
      <x:c r="Y5" s="61" t="n">
        <x:f>INT((ROW()-5)/3)+5</x:f>
        <x:v>5</x:v>
      </x:c>
      <x:c r="Z5" s="61" t="n">
        <x:f>IF(E5&gt;F5,"",IF(E5=1,IFERROR(LEFT(INDEX(Options_Journal!$G$5:$G$14,INT((ROW()-5)/3)+5-4),FIND("/",INDEX(Options_Journal!$G$5:$G$14,INT((ROW()-5)/3)+5-4))-1),INDEX(Options_Journal!$G$5:$G$14,INT((ROW()-5)/3)+5-4)),IF(E5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180</x:v>
      </x:c>
    </x:row>
    <x:row r="6">
      <x:c r="A6" s="20" t="n">
        <x:f>INDEX(Options_Journal!$A$5:$A$14,INT((ROW()-5)/3)+5-4)</x:f>
        <x:v>1</x:v>
      </x:c>
      <x:c r="B6" s="20" t="str">
        <x:f>INDEX(Options_Journal!$E$5:$E$14,INT((ROW()-5)/3)+5-4)</x:f>
        <x:v>NVDA</x:v>
      </x:c>
      <x:c r="C6" s="20" t="str">
        <x:f>INDEX(Options_Journal!$F$5:$F$14,INT((ROW()-5)/3)+5-4)</x:f>
        <x:v>Vcall(dr)</x:v>
      </x:c>
      <x:c r="D6" s="20" t="n">
        <x:f>INDEX(Options_Journal!$O$5:$O$14,INT((ROW()-5)/3)+5-4)</x:f>
        <x:v>128</x:v>
      </x:c>
      <x:c r="E6" s="20" t="n">
        <x:f>MOD(ROW()-5,3)+1</x:f>
        <x:v>2</x:v>
      </x:c>
      <x:c r="F6" s="20" t="n">
        <x:f>IF(ISNUMBER(SEARCH("butterfly",C6)),3,IF(OR(ISNUMBER(SEARCH("vcall",C6)),ISNUMBER(SEARCH("vput",C6)),ISNUMBER(SEARCH("vertical",C6))),2,1))</x:f>
        <x:v>2</x:v>
      </x:c>
      <x:c r="G6" s="20" t="str">
        <x:f>IF(E6&gt;F6,"",IF(ISNUMBER(SEARCH("call",C6)),"CALL",IF(ISNUMBER(SEARCH("put",C6)),"PUT","REVIEW")))</x:f>
        <x:v>CALL</x:v>
      </x:c>
      <x:c r="H6" s="20" t="str">
        <x:f>IF(E6&gt;F6,"",IF(F6=1,IF(INDEX(Options_Journal!$K$5:$K$14,INT((ROW()-5)/3)+5-4)&lt;0,"Long","Short"),IF(F6=3,IF(E6=2,"Short","Long"),IF(ISNUMBER(SEARCH("(cr)",C6)),IF(E6=1,"Short","Long"),IF(ISNUMBER(SEARCH("(dr)",C6)),IF(E6=1,"Long","Short"),"Review")))))</x:f>
        <x:v>Short</x:v>
      </x:c>
      <x:c r="I6" s="20" t="n">
        <x:f>IF(E6&gt;F6,"",IFERROR(VALUE(IF(E6=1,IFERROR(LEFT(INDEX(Options_Journal!$G$5:$G$14,INT((ROW()-5)/3)+5-4),FIND("/",INDEX(Options_Journal!$G$5:$G$14,INT((ROW()-5)/3)+5-4))-1),INDEX(Options_Journal!$G$5:$G$14,INT((ROW()-5)/3)+5-4)),IF(E6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200</x:v>
      </x:c>
      <x:c r="J6" s="20" t="n">
        <x:f>IF(E6&gt;F6,"",INDEX(Options_Journal!$J$5:$J$14,INT((ROW()-5)/3)+5-4)*IF(AND(F6=3,E6=2),2,1))</x:f>
        <x:v>1</x:v>
      </x:c>
      <x:c r="K6" s="20" t="n">
        <x:f>IF(H6="","",J6*IF(H6="Long",1,-1))</x:f>
        <x:v>-1</x:v>
      </x:c>
      <x:c r="L6" s="98" t="n">
        <x:f>IF(E6&gt;F6,"",IFERROR(XLOOKUP(A6&amp;"-"&amp;E6,Option_Data_Demo!$A$5:$A$21,Option_Data_Demo!$D$5:$D$21),""))</x:f>
        <x:v>4.8</x:v>
      </x:c>
      <x:c r="M6" s="100" t="n">
        <x:f>IF(L6="","",XLOOKUP(A6&amp;"-"&amp;E6,Option_Data_Demo!$A$5:$A$21,Option_Data_Demo!$E$5:$E$21))</x:f>
        <x:v>0.34</x:v>
      </x:c>
      <x:c r="N6" s="100" t="n">
        <x:f>IF(L6="","",XLOOKUP(A6&amp;"-"&amp;E6,Option_Data_Demo!$A$5:$A$21,Option_Data_Demo!$F$5:$F$21))</x:f>
        <x:v>-0.042</x:v>
      </x:c>
      <x:c r="O6" s="100" t="n">
        <x:f>IF(L6="","",XLOOKUP(A6&amp;"-"&amp;E6,Option_Data_Demo!$A$5:$A$21,Option_Data_Demo!$G$5:$G$21))</x:f>
        <x:v>0.19</x:v>
      </x:c>
      <x:c r="P6" s="100" t="n">
        <x:f>IF(L6="","",XLOOKUP(A6&amp;"-"&amp;E6,Option_Data_Demo!$A$5:$A$21,Option_Data_Demo!$H$5:$H$21))</x:f>
        <x:v>0.011</x:v>
      </x:c>
      <x:c r="Q6" s="100" t="n">
        <x:f>IF(L6="","",XLOOKUP(A6&amp;"-"&amp;E6,Option_Data_Demo!$A$5:$A$21,Option_Data_Demo!$I$5:$I$21))</x:f>
        <x:v>0.46</x:v>
      </x:c>
      <x:c r="R6" s="82" t="n">
        <x:f>IF(L6="","",M6*K6*100)</x:f>
        <x:v>-34</x:v>
      </x:c>
      <x:c r="S6" s="82" t="n">
        <x:f>IF(L6="","",N6*K6*100)</x:f>
        <x:v>4.2</x:v>
      </x:c>
      <x:c r="T6" s="82" t="n">
        <x:f>IF(L6="","",O6*K6*100)</x:f>
        <x:v>-19</x:v>
      </x:c>
      <x:c r="U6" s="82" t="n">
        <x:f>IF(L6="","",P6*K6*100)</x:f>
        <x:v>-1.0999999999999999</x:v>
      </x:c>
      <x:c r="V6" s="82" t="n">
        <x:f>IF(L6="","",L6*K6*100)</x:f>
        <x:v>-480</x:v>
      </x:c>
      <x:c r="W6" s="20" t="str">
        <x:f>INDEX(Options_Journal!$N$5:$N$14,INT((ROW()-5)/3)+5-4)</x:f>
        <x:v>AI</x:v>
      </x:c>
      <x:c r="X6" s="20" t="str">
        <x:f>INDEX(Options_Journal!$B$5:$B$14,INT((ROW()-5)/3)+5-4)</x:f>
        <x:v>Trend</x:v>
      </x:c>
      <x:c r="Y6" s="61" t="n">
        <x:f>INT((ROW()-5)/3)+5</x:f>
        <x:v>5</x:v>
      </x:c>
      <x:c r="Z6" s="61" t="n">
        <x:f>IF(E6&gt;F6,"",IF(E6=1,IFERROR(LEFT(INDEX(Options_Journal!$G$5:$G$14,INT((ROW()-5)/3)+5-4),FIND("/",INDEX(Options_Journal!$G$5:$G$14,INT((ROW()-5)/3)+5-4))-1),INDEX(Options_Journal!$G$5:$G$14,INT((ROW()-5)/3)+5-4)),IF(E6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200</x:v>
      </x:c>
    </x:row>
    <x:row r="7">
      <x:c r="A7" s="20" t="n">
        <x:f>INDEX(Options_Journal!$A$5:$A$14,INT((ROW()-5)/3)+5-4)</x:f>
        <x:v>1</x:v>
      </x:c>
      <x:c r="B7" s="20" t="str">
        <x:f>INDEX(Options_Journal!$E$5:$E$14,INT((ROW()-5)/3)+5-4)</x:f>
        <x:v>NVDA</x:v>
      </x:c>
      <x:c r="C7" s="20" t="str">
        <x:f>INDEX(Options_Journal!$F$5:$F$14,INT((ROW()-5)/3)+5-4)</x:f>
        <x:v>Vcall(dr)</x:v>
      </x:c>
      <x:c r="D7" s="20" t="n">
        <x:f>INDEX(Options_Journal!$O$5:$O$14,INT((ROW()-5)/3)+5-4)</x:f>
        <x:v>128</x:v>
      </x:c>
      <x:c r="E7" s="20" t="n">
        <x:f>MOD(ROW()-5,3)+1</x:f>
        <x:v>3</x:v>
      </x:c>
      <x:c r="F7" s="20" t="n">
        <x:f>IF(ISNUMBER(SEARCH("butterfly",C7)),3,IF(OR(ISNUMBER(SEARCH("vcall",C7)),ISNUMBER(SEARCH("vput",C7)),ISNUMBER(SEARCH("vertical",C7))),2,1))</x:f>
        <x:v>2</x:v>
      </x:c>
      <x:c r="G7" s="20" t="str">
        <x:f>IF(E7&gt;F7,"",IF(ISNUMBER(SEARCH("call",C7)),"CALL",IF(ISNUMBER(SEARCH("put",C7)),"PUT","REVIEW")))</x:f>
      </x:c>
      <x:c r="H7" s="20" t="str">
        <x:f>IF(E7&gt;F7,"",IF(F7=1,IF(INDEX(Options_Journal!$K$5:$K$14,INT((ROW()-5)/3)+5-4)&lt;0,"Long","Short"),IF(F7=3,IF(E7=2,"Short","Long"),IF(ISNUMBER(SEARCH("(cr)",C7)),IF(E7=1,"Short","Long"),IF(ISNUMBER(SEARCH("(dr)",C7)),IF(E7=1,"Long","Short"),"Review")))))</x:f>
      </x:c>
      <x:c r="I7" s="20" t="str">
        <x:f>IF(E7&gt;F7,"",IFERROR(VALUE(IF(E7=1,IFERROR(LEFT(INDEX(Options_Journal!$G$5:$G$14,INT((ROW()-5)/3)+5-4),FIND("/",INDEX(Options_Journal!$G$5:$G$14,INT((ROW()-5)/3)+5-4))-1),INDEX(Options_Journal!$G$5:$G$14,INT((ROW()-5)/3)+5-4)),IF(E7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7" s="20" t="str">
        <x:f>IF(E7&gt;F7,"",INDEX(Options_Journal!$J$5:$J$14,INT((ROW()-5)/3)+5-4)*IF(AND(F7=3,E7=2),2,1))</x:f>
      </x:c>
      <x:c r="K7" s="20" t="str">
        <x:f>IF(H7="","",J7*IF(H7="Long",1,-1))</x:f>
      </x:c>
      <x:c r="L7" s="98" t="str">
        <x:f>IF(E7&gt;F7,"",IFERROR(XLOOKUP(A7&amp;"-"&amp;E7,Option_Data_Demo!$A$5:$A$21,Option_Data_Demo!$D$5:$D$21),""))</x:f>
      </x:c>
      <x:c r="M7" s="100" t="str">
        <x:f>IF(L7="","",XLOOKUP(A7&amp;"-"&amp;E7,Option_Data_Demo!$A$5:$A$21,Option_Data_Demo!$E$5:$E$21))</x:f>
      </x:c>
      <x:c r="N7" s="100" t="str">
        <x:f>IF(L7="","",XLOOKUP(A7&amp;"-"&amp;E7,Option_Data_Demo!$A$5:$A$21,Option_Data_Demo!$F$5:$F$21))</x:f>
      </x:c>
      <x:c r="O7" s="100" t="str">
        <x:f>IF(L7="","",XLOOKUP(A7&amp;"-"&amp;E7,Option_Data_Demo!$A$5:$A$21,Option_Data_Demo!$G$5:$G$21))</x:f>
      </x:c>
      <x:c r="P7" s="100" t="str">
        <x:f>IF(L7="","",XLOOKUP(A7&amp;"-"&amp;E7,Option_Data_Demo!$A$5:$A$21,Option_Data_Demo!$H$5:$H$21))</x:f>
      </x:c>
      <x:c r="Q7" s="100" t="str">
        <x:f>IF(L7="","",XLOOKUP(A7&amp;"-"&amp;E7,Option_Data_Demo!$A$5:$A$21,Option_Data_Demo!$I$5:$I$21))</x:f>
      </x:c>
      <x:c r="R7" s="82" t="str">
        <x:f>IF(L7="","",M7*K7*100)</x:f>
      </x:c>
      <x:c r="S7" s="82" t="str">
        <x:f>IF(L7="","",N7*K7*100)</x:f>
      </x:c>
      <x:c r="T7" s="82" t="str">
        <x:f>IF(L7="","",O7*K7*100)</x:f>
      </x:c>
      <x:c r="U7" s="82" t="str">
        <x:f>IF(L7="","",P7*K7*100)</x:f>
      </x:c>
      <x:c r="V7" s="82" t="str">
        <x:f>IF(L7="","",L7*K7*100)</x:f>
      </x:c>
      <x:c r="W7" s="20" t="str">
        <x:f>INDEX(Options_Journal!$N$5:$N$14,INT((ROW()-5)/3)+5-4)</x:f>
        <x:v>AI</x:v>
      </x:c>
      <x:c r="X7" s="20" t="str">
        <x:f>INDEX(Options_Journal!$B$5:$B$14,INT((ROW()-5)/3)+5-4)</x:f>
        <x:v>Trend</x:v>
      </x:c>
      <x:c r="Y7" s="61" t="n">
        <x:f>INT((ROW()-5)/3)+5</x:f>
        <x:v>5</x:v>
      </x:c>
      <x:c r="Z7" s="61" t="str">
        <x:f>IF(E7&gt;F7,"",IF(E7=1,IFERROR(LEFT(INDEX(Options_Journal!$G$5:$G$14,INT((ROW()-5)/3)+5-4),FIND("/",INDEX(Options_Journal!$G$5:$G$14,INT((ROW()-5)/3)+5-4))-1),INDEX(Options_Journal!$G$5:$G$14,INT((ROW()-5)/3)+5-4)),IF(E7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8">
      <x:c r="A8" s="20" t="n">
        <x:f>INDEX(Options_Journal!$A$5:$A$14,INT((ROW()-5)/3)+5-4)</x:f>
        <x:v>2</x:v>
      </x:c>
      <x:c r="B8" s="20" t="str">
        <x:f>INDEX(Options_Journal!$E$5:$E$14,INT((ROW()-5)/3)+5-4)</x:f>
        <x:v>SPY</x:v>
      </x:c>
      <x:c r="C8" s="20" t="str">
        <x:f>INDEX(Options_Journal!$F$5:$F$14,INT((ROW()-5)/3)+5-4)</x:f>
        <x:v>Vput(cr)</x:v>
      </x:c>
      <x:c r="D8" s="20" t="n">
        <x:f>INDEX(Options_Journal!$O$5:$O$14,INT((ROW()-5)/3)+5-4)</x:f>
        <x:v>37</x:v>
      </x:c>
      <x:c r="E8" s="20" t="n">
        <x:f>MOD(ROW()-5,3)+1</x:f>
        <x:v>1</x:v>
      </x:c>
      <x:c r="F8" s="20" t="n">
        <x:f>IF(ISNUMBER(SEARCH("butterfly",C8)),3,IF(OR(ISNUMBER(SEARCH("vcall",C8)),ISNUMBER(SEARCH("vput",C8)),ISNUMBER(SEARCH("vertical",C8))),2,1))</x:f>
        <x:v>2</x:v>
      </x:c>
      <x:c r="G8" s="20" t="str">
        <x:f>IF(E8&gt;F8,"",IF(ISNUMBER(SEARCH("call",C8)),"CALL",IF(ISNUMBER(SEARCH("put",C8)),"PUT","REVIEW")))</x:f>
        <x:v>PUT</x:v>
      </x:c>
      <x:c r="H8" s="20" t="str">
        <x:f>IF(E8&gt;F8,"",IF(F8=1,IF(INDEX(Options_Journal!$K$5:$K$14,INT((ROW()-5)/3)+5-4)&lt;0,"Long","Short"),IF(F8=3,IF(E8=2,"Short","Long"),IF(ISNUMBER(SEARCH("(cr)",C8)),IF(E8=1,"Short","Long"),IF(ISNUMBER(SEARCH("(dr)",C8)),IF(E8=1,"Long","Short"),"Review")))))</x:f>
        <x:v>Short</x:v>
      </x:c>
      <x:c r="I8" s="20" t="n">
        <x:f>IF(E8&gt;F8,"",IFERROR(VALUE(IF(E8=1,IFERROR(LEFT(INDEX(Options_Journal!$G$5:$G$14,INT((ROW()-5)/3)+5-4),FIND("/",INDEX(Options_Journal!$G$5:$G$14,INT((ROW()-5)/3)+5-4))-1),INDEX(Options_Journal!$G$5:$G$14,INT((ROW()-5)/3)+5-4)),IF(E8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535</x:v>
      </x:c>
      <x:c r="J8" s="20" t="n">
        <x:f>IF(E8&gt;F8,"",INDEX(Options_Journal!$J$5:$J$14,INT((ROW()-5)/3)+5-4)*IF(AND(F8=3,E8=2),2,1))</x:f>
        <x:v>2</x:v>
      </x:c>
      <x:c r="K8" s="20" t="n">
        <x:f>IF(H8="","",J8*IF(H8="Long",1,-1))</x:f>
        <x:v>-2</x:v>
      </x:c>
      <x:c r="L8" s="98" t="n">
        <x:f>IF(E8&gt;F8,"",IFERROR(XLOOKUP(A8&amp;"-"&amp;E8,Option_Data_Demo!$A$5:$A$21,Option_Data_Demo!$D$5:$D$21),""))</x:f>
        <x:v>4.2</x:v>
      </x:c>
      <x:c r="M8" s="100" t="n">
        <x:f>IF(L8="","",XLOOKUP(A8&amp;"-"&amp;E8,Option_Data_Demo!$A$5:$A$21,Option_Data_Demo!$E$5:$E$21))</x:f>
        <x:v>-0.25</x:v>
      </x:c>
      <x:c r="N8" s="100" t="n">
        <x:f>IF(L8="","",XLOOKUP(A8&amp;"-"&amp;E8,Option_Data_Demo!$A$5:$A$21,Option_Data_Demo!$F$5:$F$21))</x:f>
        <x:v>-0.15</x:v>
      </x:c>
      <x:c r="O8" s="100" t="n">
        <x:f>IF(L8="","",XLOOKUP(A8&amp;"-"&amp;E8,Option_Data_Demo!$A$5:$A$21,Option_Data_Demo!$G$5:$G$21))</x:f>
        <x:v>0.18</x:v>
      </x:c>
      <x:c r="P8" s="100" t="n">
        <x:f>IF(L8="","",XLOOKUP(A8&amp;"-"&amp;E8,Option_Data_Demo!$A$5:$A$21,Option_Data_Demo!$H$5:$H$21))</x:f>
        <x:v>0.01</x:v>
      </x:c>
      <x:c r="Q8" s="100" t="n">
        <x:f>IF(L8="","",XLOOKUP(A8&amp;"-"&amp;E8,Option_Data_Demo!$A$5:$A$21,Option_Data_Demo!$I$5:$I$21))</x:f>
        <x:v>0.22</x:v>
      </x:c>
      <x:c r="R8" s="82" t="n">
        <x:f>IF(L8="","",M8*K8*100)</x:f>
        <x:v>50</x:v>
      </x:c>
      <x:c r="S8" s="82" t="n">
        <x:f>IF(L8="","",N8*K8*100)</x:f>
        <x:v>30</x:v>
      </x:c>
      <x:c r="T8" s="82" t="n">
        <x:f>IF(L8="","",O8*K8*100)</x:f>
        <x:v>-36</x:v>
      </x:c>
      <x:c r="U8" s="82" t="n">
        <x:f>IF(L8="","",P8*K8*100)</x:f>
        <x:v>-2</x:v>
      </x:c>
      <x:c r="V8" s="82" t="n">
        <x:f>IF(L8="","",L8*K8*100)</x:f>
        <x:v>-840</x:v>
      </x:c>
      <x:c r="W8" s="20" t="str">
        <x:f>INDEX(Options_Journal!$N$5:$N$14,INT((ROW()-5)/3)+5-4)</x:f>
        <x:v>INDEX</x:v>
      </x:c>
      <x:c r="X8" s="20" t="str">
        <x:f>INDEX(Options_Journal!$B$5:$B$14,INT((ROW()-5)/3)+5-4)</x:f>
        <x:v>Income</x:v>
      </x:c>
      <x:c r="Y8" s="61" t="n">
        <x:f>INT((ROW()-5)/3)+5</x:f>
        <x:v>6</x:v>
      </x:c>
      <x:c r="Z8" s="61" t="n">
        <x:f>IF(E8&gt;F8,"",IF(E8=1,IFERROR(LEFT(INDEX(Options_Journal!$G$5:$G$14,INT((ROW()-5)/3)+5-4),FIND("/",INDEX(Options_Journal!$G$5:$G$14,INT((ROW()-5)/3)+5-4))-1),INDEX(Options_Journal!$G$5:$G$14,INT((ROW()-5)/3)+5-4)),IF(E8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535</x:v>
      </x:c>
    </x:row>
    <x:row r="9">
      <x:c r="A9" s="20" t="n">
        <x:f>INDEX(Options_Journal!$A$5:$A$14,INT((ROW()-5)/3)+5-4)</x:f>
        <x:v>2</x:v>
      </x:c>
      <x:c r="B9" s="20" t="str">
        <x:f>INDEX(Options_Journal!$E$5:$E$14,INT((ROW()-5)/3)+5-4)</x:f>
        <x:v>SPY</x:v>
      </x:c>
      <x:c r="C9" s="20" t="str">
        <x:f>INDEX(Options_Journal!$F$5:$F$14,INT((ROW()-5)/3)+5-4)</x:f>
        <x:v>Vput(cr)</x:v>
      </x:c>
      <x:c r="D9" s="20" t="n">
        <x:f>INDEX(Options_Journal!$O$5:$O$14,INT((ROW()-5)/3)+5-4)</x:f>
        <x:v>37</x:v>
      </x:c>
      <x:c r="E9" s="20" t="n">
        <x:f>MOD(ROW()-5,3)+1</x:f>
        <x:v>2</x:v>
      </x:c>
      <x:c r="F9" s="20" t="n">
        <x:f>IF(ISNUMBER(SEARCH("butterfly",C9)),3,IF(OR(ISNUMBER(SEARCH("vcall",C9)),ISNUMBER(SEARCH("vput",C9)),ISNUMBER(SEARCH("vertical",C9))),2,1))</x:f>
        <x:v>2</x:v>
      </x:c>
      <x:c r="G9" s="20" t="str">
        <x:f>IF(E9&gt;F9,"",IF(ISNUMBER(SEARCH("call",C9)),"CALL",IF(ISNUMBER(SEARCH("put",C9)),"PUT","REVIEW")))</x:f>
        <x:v>PUT</x:v>
      </x:c>
      <x:c r="H9" s="20" t="str">
        <x:f>IF(E9&gt;F9,"",IF(F9=1,IF(INDEX(Options_Journal!$K$5:$K$14,INT((ROW()-5)/3)+5-4)&lt;0,"Long","Short"),IF(F9=3,IF(E9=2,"Short","Long"),IF(ISNUMBER(SEARCH("(cr)",C9)),IF(E9=1,"Short","Long"),IF(ISNUMBER(SEARCH("(dr)",C9)),IF(E9=1,"Long","Short"),"Review")))))</x:f>
        <x:v>Long</x:v>
      </x:c>
      <x:c r="I9" s="20" t="n">
        <x:f>IF(E9&gt;F9,"",IFERROR(VALUE(IF(E9=1,IFERROR(LEFT(INDEX(Options_Journal!$G$5:$G$14,INT((ROW()-5)/3)+5-4),FIND("/",INDEX(Options_Journal!$G$5:$G$14,INT((ROW()-5)/3)+5-4))-1),INDEX(Options_Journal!$G$5:$G$14,INT((ROW()-5)/3)+5-4)),IF(E9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525</x:v>
      </x:c>
      <x:c r="J9" s="20" t="n">
        <x:f>IF(E9&gt;F9,"",INDEX(Options_Journal!$J$5:$J$14,INT((ROW()-5)/3)+5-4)*IF(AND(F9=3,E9=2),2,1))</x:f>
        <x:v>2</x:v>
      </x:c>
      <x:c r="K9" s="20" t="n">
        <x:f>IF(H9="","",J9*IF(H9="Long",1,-1))</x:f>
        <x:v>2</x:v>
      </x:c>
      <x:c r="L9" s="98" t="n">
        <x:f>IF(E9&gt;F9,"",IFERROR(XLOOKUP(A9&amp;"-"&amp;E9,Option_Data_Demo!$A$5:$A$21,Option_Data_Demo!$D$5:$D$21),""))</x:f>
        <x:v>1.8</x:v>
      </x:c>
      <x:c r="M9" s="100" t="n">
        <x:f>IF(L9="","",XLOOKUP(A9&amp;"-"&amp;E9,Option_Data_Demo!$A$5:$A$21,Option_Data_Demo!$E$5:$E$21))</x:f>
        <x:v>-0.15</x:v>
      </x:c>
      <x:c r="N9" s="100" t="n">
        <x:f>IF(L9="","",XLOOKUP(A9&amp;"-"&amp;E9,Option_Data_Demo!$A$5:$A$21,Option_Data_Demo!$F$5:$F$21))</x:f>
        <x:v>-0.095</x:v>
      </x:c>
      <x:c r="O9" s="100" t="n">
        <x:f>IF(L9="","",XLOOKUP(A9&amp;"-"&amp;E9,Option_Data_Demo!$A$5:$A$21,Option_Data_Demo!$G$5:$G$21))</x:f>
        <x:v>0.13</x:v>
      </x:c>
      <x:c r="P9" s="100" t="n">
        <x:f>IF(L9="","",XLOOKUP(A9&amp;"-"&amp;E9,Option_Data_Demo!$A$5:$A$21,Option_Data_Demo!$H$5:$H$21))</x:f>
        <x:v>0.008</x:v>
      </x:c>
      <x:c r="Q9" s="100" t="n">
        <x:f>IF(L9="","",XLOOKUP(A9&amp;"-"&amp;E9,Option_Data_Demo!$A$5:$A$21,Option_Data_Demo!$I$5:$I$21))</x:f>
        <x:v>0.23</x:v>
      </x:c>
      <x:c r="R9" s="82" t="n">
        <x:f>IF(L9="","",M9*K9*100)</x:f>
        <x:v>-30</x:v>
      </x:c>
      <x:c r="S9" s="82" t="n">
        <x:f>IF(L9="","",N9*K9*100)</x:f>
        <x:v>-19</x:v>
      </x:c>
      <x:c r="T9" s="82" t="n">
        <x:f>IF(L9="","",O9*K9*100)</x:f>
        <x:v>26</x:v>
      </x:c>
      <x:c r="U9" s="82" t="n">
        <x:f>IF(L9="","",P9*K9*100)</x:f>
        <x:v>1.6</x:v>
      </x:c>
      <x:c r="V9" s="82" t="n">
        <x:f>IF(L9="","",L9*K9*100)</x:f>
        <x:v>360</x:v>
      </x:c>
      <x:c r="W9" s="20" t="str">
        <x:f>INDEX(Options_Journal!$N$5:$N$14,INT((ROW()-5)/3)+5-4)</x:f>
        <x:v>INDEX</x:v>
      </x:c>
      <x:c r="X9" s="20" t="str">
        <x:f>INDEX(Options_Journal!$B$5:$B$14,INT((ROW()-5)/3)+5-4)</x:f>
        <x:v>Income</x:v>
      </x:c>
      <x:c r="Y9" s="61" t="n">
        <x:f>INT((ROW()-5)/3)+5</x:f>
        <x:v>6</x:v>
      </x:c>
      <x:c r="Z9" s="61" t="n">
        <x:f>IF(E9&gt;F9,"",IF(E9=1,IFERROR(LEFT(INDEX(Options_Journal!$G$5:$G$14,INT((ROW()-5)/3)+5-4),FIND("/",INDEX(Options_Journal!$G$5:$G$14,INT((ROW()-5)/3)+5-4))-1),INDEX(Options_Journal!$G$5:$G$14,INT((ROW()-5)/3)+5-4)),IF(E9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525</x:v>
      </x:c>
    </x:row>
    <x:row r="10">
      <x:c r="A10" s="20" t="n">
        <x:f>INDEX(Options_Journal!$A$5:$A$14,INT((ROW()-5)/3)+5-4)</x:f>
        <x:v>2</x:v>
      </x:c>
      <x:c r="B10" s="20" t="str">
        <x:f>INDEX(Options_Journal!$E$5:$E$14,INT((ROW()-5)/3)+5-4)</x:f>
        <x:v>SPY</x:v>
      </x:c>
      <x:c r="C10" s="20" t="str">
        <x:f>INDEX(Options_Journal!$F$5:$F$14,INT((ROW()-5)/3)+5-4)</x:f>
        <x:v>Vput(cr)</x:v>
      </x:c>
      <x:c r="D10" s="20" t="n">
        <x:f>INDEX(Options_Journal!$O$5:$O$14,INT((ROW()-5)/3)+5-4)</x:f>
        <x:v>37</x:v>
      </x:c>
      <x:c r="E10" s="20" t="n">
        <x:f>MOD(ROW()-5,3)+1</x:f>
        <x:v>3</x:v>
      </x:c>
      <x:c r="F10" s="20" t="n">
        <x:f>IF(ISNUMBER(SEARCH("butterfly",C10)),3,IF(OR(ISNUMBER(SEARCH("vcall",C10)),ISNUMBER(SEARCH("vput",C10)),ISNUMBER(SEARCH("vertical",C10))),2,1))</x:f>
        <x:v>2</x:v>
      </x:c>
      <x:c r="G10" s="20" t="str">
        <x:f>IF(E10&gt;F10,"",IF(ISNUMBER(SEARCH("call",C10)),"CALL",IF(ISNUMBER(SEARCH("put",C10)),"PUT","REVIEW")))</x:f>
      </x:c>
      <x:c r="H10" s="20" t="str">
        <x:f>IF(E10&gt;F10,"",IF(F10=1,IF(INDEX(Options_Journal!$K$5:$K$14,INT((ROW()-5)/3)+5-4)&lt;0,"Long","Short"),IF(F10=3,IF(E10=2,"Short","Long"),IF(ISNUMBER(SEARCH("(cr)",C10)),IF(E10=1,"Short","Long"),IF(ISNUMBER(SEARCH("(dr)",C10)),IF(E10=1,"Long","Short"),"Review")))))</x:f>
      </x:c>
      <x:c r="I10" s="20" t="str">
        <x:f>IF(E10&gt;F10,"",IFERROR(VALUE(IF(E10=1,IFERROR(LEFT(INDEX(Options_Journal!$G$5:$G$14,INT((ROW()-5)/3)+5-4),FIND("/",INDEX(Options_Journal!$G$5:$G$14,INT((ROW()-5)/3)+5-4))-1),INDEX(Options_Journal!$G$5:$G$14,INT((ROW()-5)/3)+5-4)),IF(E10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10" s="20" t="str">
        <x:f>IF(E10&gt;F10,"",INDEX(Options_Journal!$J$5:$J$14,INT((ROW()-5)/3)+5-4)*IF(AND(F10=3,E10=2),2,1))</x:f>
      </x:c>
      <x:c r="K10" s="20" t="str">
        <x:f>IF(H10="","",J10*IF(H10="Long",1,-1))</x:f>
      </x:c>
      <x:c r="L10" s="98" t="str">
        <x:f>IF(E10&gt;F10,"",IFERROR(XLOOKUP(A10&amp;"-"&amp;E10,Option_Data_Demo!$A$5:$A$21,Option_Data_Demo!$D$5:$D$21),""))</x:f>
      </x:c>
      <x:c r="M10" s="100" t="str">
        <x:f>IF(L10="","",XLOOKUP(A10&amp;"-"&amp;E10,Option_Data_Demo!$A$5:$A$21,Option_Data_Demo!$E$5:$E$21))</x:f>
      </x:c>
      <x:c r="N10" s="100" t="str">
        <x:f>IF(L10="","",XLOOKUP(A10&amp;"-"&amp;E10,Option_Data_Demo!$A$5:$A$21,Option_Data_Demo!$F$5:$F$21))</x:f>
      </x:c>
      <x:c r="O10" s="100" t="str">
        <x:f>IF(L10="","",XLOOKUP(A10&amp;"-"&amp;E10,Option_Data_Demo!$A$5:$A$21,Option_Data_Demo!$G$5:$G$21))</x:f>
      </x:c>
      <x:c r="P10" s="100" t="str">
        <x:f>IF(L10="","",XLOOKUP(A10&amp;"-"&amp;E10,Option_Data_Demo!$A$5:$A$21,Option_Data_Demo!$H$5:$H$21))</x:f>
      </x:c>
      <x:c r="Q10" s="100" t="str">
        <x:f>IF(L10="","",XLOOKUP(A10&amp;"-"&amp;E10,Option_Data_Demo!$A$5:$A$21,Option_Data_Demo!$I$5:$I$21))</x:f>
      </x:c>
      <x:c r="R10" s="82" t="str">
        <x:f>IF(L10="","",M10*K10*100)</x:f>
      </x:c>
      <x:c r="S10" s="82" t="str">
        <x:f>IF(L10="","",N10*K10*100)</x:f>
      </x:c>
      <x:c r="T10" s="82" t="str">
        <x:f>IF(L10="","",O10*K10*100)</x:f>
      </x:c>
      <x:c r="U10" s="82" t="str">
        <x:f>IF(L10="","",P10*K10*100)</x:f>
      </x:c>
      <x:c r="V10" s="82" t="str">
        <x:f>IF(L10="","",L10*K10*100)</x:f>
      </x:c>
      <x:c r="W10" s="20" t="str">
        <x:f>INDEX(Options_Journal!$N$5:$N$14,INT((ROW()-5)/3)+5-4)</x:f>
        <x:v>INDEX</x:v>
      </x:c>
      <x:c r="X10" s="20" t="str">
        <x:f>INDEX(Options_Journal!$B$5:$B$14,INT((ROW()-5)/3)+5-4)</x:f>
        <x:v>Income</x:v>
      </x:c>
      <x:c r="Y10" s="61" t="n">
        <x:f>INT((ROW()-5)/3)+5</x:f>
        <x:v>6</x:v>
      </x:c>
      <x:c r="Z10" s="61" t="str">
        <x:f>IF(E10&gt;F10,"",IF(E10=1,IFERROR(LEFT(INDEX(Options_Journal!$G$5:$G$14,INT((ROW()-5)/3)+5-4),FIND("/",INDEX(Options_Journal!$G$5:$G$14,INT((ROW()-5)/3)+5-4))-1),INDEX(Options_Journal!$G$5:$G$14,INT((ROW()-5)/3)+5-4)),IF(E10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11">
      <x:c r="A11" s="20" t="n">
        <x:f>INDEX(Options_Journal!$A$5:$A$14,INT((ROW()-5)/3)+5-4)</x:f>
        <x:v>3</x:v>
      </x:c>
      <x:c r="B11" s="20" t="str">
        <x:f>INDEX(Options_Journal!$E$5:$E$14,INT((ROW()-5)/3)+5-4)</x:f>
        <x:v>IONS</x:v>
      </x:c>
      <x:c r="C11" s="20" t="str">
        <x:f>INDEX(Options_Journal!$F$5:$F$14,INT((ROW()-5)/3)+5-4)</x:f>
        <x:v>Call</x:v>
      </x:c>
      <x:c r="D11" s="20" t="n">
        <x:f>INDEX(Options_Journal!$O$5:$O$14,INT((ROW()-5)/3)+5-4)</x:f>
        <x:v>191</x:v>
      </x:c>
      <x:c r="E11" s="20" t="n">
        <x:f>MOD(ROW()-5,3)+1</x:f>
        <x:v>1</x:v>
      </x:c>
      <x:c r="F11" s="20" t="n">
        <x:f>IF(ISNUMBER(SEARCH("butterfly",C11)),3,IF(OR(ISNUMBER(SEARCH("vcall",C11)),ISNUMBER(SEARCH("vput",C11)),ISNUMBER(SEARCH("vertical",C11))),2,1))</x:f>
        <x:v>1</x:v>
      </x:c>
      <x:c r="G11" s="20" t="str">
        <x:f>IF(E11&gt;F11,"",IF(ISNUMBER(SEARCH("call",C11)),"CALL",IF(ISNUMBER(SEARCH("put",C11)),"PUT","REVIEW")))</x:f>
        <x:v>CALL</x:v>
      </x:c>
      <x:c r="H11" s="20" t="str">
        <x:f>IF(E11&gt;F11,"",IF(F11=1,IF(INDEX(Options_Journal!$K$5:$K$14,INT((ROW()-5)/3)+5-4)&lt;0,"Long","Short"),IF(F11=3,IF(E11=2,"Short","Long"),IF(ISNUMBER(SEARCH("(cr)",C11)),IF(E11=1,"Short","Long"),IF(ISNUMBER(SEARCH("(dr)",C11)),IF(E11=1,"Long","Short"),"Review")))))</x:f>
        <x:v>Long</x:v>
      </x:c>
      <x:c r="I11" s="20" t="n">
        <x:f>IF(E11&gt;F11,"",IFERROR(VALUE(IF(E11=1,IFERROR(LEFT(INDEX(Options_Journal!$G$5:$G$14,INT((ROW()-5)/3)+5-4),FIND("/",INDEX(Options_Journal!$G$5:$G$14,INT((ROW()-5)/3)+5-4))-1),INDEX(Options_Journal!$G$5:$G$14,INT((ROW()-5)/3)+5-4)),IF(E11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90</x:v>
      </x:c>
      <x:c r="J11" s="20" t="n">
        <x:f>IF(E11&gt;F11,"",INDEX(Options_Journal!$J$5:$J$14,INT((ROW()-5)/3)+5-4)*IF(AND(F11=3,E11=2),2,1))</x:f>
        <x:v>1</x:v>
      </x:c>
      <x:c r="K11" s="20" t="n">
        <x:f>IF(H11="","",J11*IF(H11="Long",1,-1))</x:f>
        <x:v>1</x:v>
      </x:c>
      <x:c r="L11" s="98" t="n">
        <x:f>IF(E11&gt;F11,"",IFERROR(XLOOKUP(A11&amp;"-"&amp;E11,Option_Data_Demo!$A$5:$A$21,Option_Data_Demo!$D$5:$D$21),""))</x:f>
        <x:v>8.5</x:v>
      </x:c>
      <x:c r="M11" s="100" t="n">
        <x:f>IF(L11="","",XLOOKUP(A11&amp;"-"&amp;E11,Option_Data_Demo!$A$5:$A$21,Option_Data_Demo!$E$5:$E$21))</x:f>
        <x:v>0.58</x:v>
      </x:c>
      <x:c r="N11" s="100" t="n">
        <x:f>IF(L11="","",XLOOKUP(A11&amp;"-"&amp;E11,Option_Data_Demo!$A$5:$A$21,Option_Data_Demo!$F$5:$F$21))</x:f>
        <x:v>-0.035</x:v>
      </x:c>
      <x:c r="O11" s="100" t="n">
        <x:f>IF(L11="","",XLOOKUP(A11&amp;"-"&amp;E11,Option_Data_Demo!$A$5:$A$21,Option_Data_Demo!$G$5:$G$21))</x:f>
        <x:v>0.28</x:v>
      </x:c>
      <x:c r="P11" s="100" t="n">
        <x:f>IF(L11="","",XLOOKUP(A11&amp;"-"&amp;E11,Option_Data_Demo!$A$5:$A$21,Option_Data_Demo!$H$5:$H$21))</x:f>
        <x:v>0.018</x:v>
      </x:c>
      <x:c r="Q11" s="100" t="n">
        <x:f>IF(L11="","",XLOOKUP(A11&amp;"-"&amp;E11,Option_Data_Demo!$A$5:$A$21,Option_Data_Demo!$I$5:$I$21))</x:f>
        <x:v>0.55</x:v>
      </x:c>
      <x:c r="R11" s="82" t="n">
        <x:f>IF(L11="","",M11*K11*100)</x:f>
        <x:v>57.99999999999999</x:v>
      </x:c>
      <x:c r="S11" s="82" t="n">
        <x:f>IF(L11="","",N11*K11*100)</x:f>
        <x:v>-3.5000000000000004</x:v>
      </x:c>
      <x:c r="T11" s="82" t="n">
        <x:f>IF(L11="","",O11*K11*100)</x:f>
        <x:v>28.000000000000004</x:v>
      </x:c>
      <x:c r="U11" s="82" t="n">
        <x:f>IF(L11="","",P11*K11*100)</x:f>
        <x:v>1.7999999999999998</x:v>
      </x:c>
      <x:c r="V11" s="82" t="n">
        <x:f>IF(L11="","",L11*K11*100)</x:f>
        <x:v>850</x:v>
      </x:c>
      <x:c r="W11" s="20" t="str">
        <x:f>INDEX(Options_Journal!$N$5:$N$14,INT((ROW()-5)/3)+5-4)</x:f>
        <x:v>BIOTECH</x:v>
      </x:c>
      <x:c r="X11" s="20" t="str">
        <x:f>INDEX(Options_Journal!$B$5:$B$14,INT((ROW()-5)/3)+5-4)</x:f>
        <x:v>Spec</x:v>
      </x:c>
      <x:c r="Y11" s="61" t="n">
        <x:f>INT((ROW()-5)/3)+5</x:f>
        <x:v>7</x:v>
      </x:c>
      <x:c r="Z11" s="61" t="n">
        <x:f>IF(E11&gt;F11,"",IF(E11=1,IFERROR(LEFT(INDEX(Options_Journal!$G$5:$G$14,INT((ROW()-5)/3)+5-4),FIND("/",INDEX(Options_Journal!$G$5:$G$14,INT((ROW()-5)/3)+5-4))-1),INDEX(Options_Journal!$G$5:$G$14,INT((ROW()-5)/3)+5-4)),IF(E11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90</x:v>
      </x:c>
    </x:row>
    <x:row r="12">
      <x:c r="A12" s="20" t="n">
        <x:f>INDEX(Options_Journal!$A$5:$A$14,INT((ROW()-5)/3)+5-4)</x:f>
        <x:v>3</x:v>
      </x:c>
      <x:c r="B12" s="20" t="str">
        <x:f>INDEX(Options_Journal!$E$5:$E$14,INT((ROW()-5)/3)+5-4)</x:f>
        <x:v>IONS</x:v>
      </x:c>
      <x:c r="C12" s="20" t="str">
        <x:f>INDEX(Options_Journal!$F$5:$F$14,INT((ROW()-5)/3)+5-4)</x:f>
        <x:v>Call</x:v>
      </x:c>
      <x:c r="D12" s="20" t="n">
        <x:f>INDEX(Options_Journal!$O$5:$O$14,INT((ROW()-5)/3)+5-4)</x:f>
        <x:v>191</x:v>
      </x:c>
      <x:c r="E12" s="20" t="n">
        <x:f>MOD(ROW()-5,3)+1</x:f>
        <x:v>2</x:v>
      </x:c>
      <x:c r="F12" s="20" t="n">
        <x:f>IF(ISNUMBER(SEARCH("butterfly",C12)),3,IF(OR(ISNUMBER(SEARCH("vcall",C12)),ISNUMBER(SEARCH("vput",C12)),ISNUMBER(SEARCH("vertical",C12))),2,1))</x:f>
        <x:v>1</x:v>
      </x:c>
      <x:c r="G12" s="20" t="str">
        <x:f>IF(E12&gt;F12,"",IF(ISNUMBER(SEARCH("call",C12)),"CALL",IF(ISNUMBER(SEARCH("put",C12)),"PUT","REVIEW")))</x:f>
      </x:c>
      <x:c r="H12" s="20" t="str">
        <x:f>IF(E12&gt;F12,"",IF(F12=1,IF(INDEX(Options_Journal!$K$5:$K$14,INT((ROW()-5)/3)+5-4)&lt;0,"Long","Short"),IF(F12=3,IF(E12=2,"Short","Long"),IF(ISNUMBER(SEARCH("(cr)",C12)),IF(E12=1,"Short","Long"),IF(ISNUMBER(SEARCH("(dr)",C12)),IF(E12=1,"Long","Short"),"Review")))))</x:f>
      </x:c>
      <x:c r="I12" s="20" t="str">
        <x:f>IF(E12&gt;F12,"",IFERROR(VALUE(IF(E12=1,IFERROR(LEFT(INDEX(Options_Journal!$G$5:$G$14,INT((ROW()-5)/3)+5-4),FIND("/",INDEX(Options_Journal!$G$5:$G$14,INT((ROW()-5)/3)+5-4))-1),INDEX(Options_Journal!$G$5:$G$14,INT((ROW()-5)/3)+5-4)),IF(E12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12" s="20" t="str">
        <x:f>IF(E12&gt;F12,"",INDEX(Options_Journal!$J$5:$J$14,INT((ROW()-5)/3)+5-4)*IF(AND(F12=3,E12=2),2,1))</x:f>
      </x:c>
      <x:c r="K12" s="20" t="str">
        <x:f>IF(H12="","",J12*IF(H12="Long",1,-1))</x:f>
      </x:c>
      <x:c r="L12" s="98" t="str">
        <x:f>IF(E12&gt;F12,"",IFERROR(XLOOKUP(A12&amp;"-"&amp;E12,Option_Data_Demo!$A$5:$A$21,Option_Data_Demo!$D$5:$D$21),""))</x:f>
      </x:c>
      <x:c r="M12" s="100" t="str">
        <x:f>IF(L12="","",XLOOKUP(A12&amp;"-"&amp;E12,Option_Data_Demo!$A$5:$A$21,Option_Data_Demo!$E$5:$E$21))</x:f>
      </x:c>
      <x:c r="N12" s="100" t="str">
        <x:f>IF(L12="","",XLOOKUP(A12&amp;"-"&amp;E12,Option_Data_Demo!$A$5:$A$21,Option_Data_Demo!$F$5:$F$21))</x:f>
      </x:c>
      <x:c r="O12" s="100" t="str">
        <x:f>IF(L12="","",XLOOKUP(A12&amp;"-"&amp;E12,Option_Data_Demo!$A$5:$A$21,Option_Data_Demo!$G$5:$G$21))</x:f>
      </x:c>
      <x:c r="P12" s="100" t="str">
        <x:f>IF(L12="","",XLOOKUP(A12&amp;"-"&amp;E12,Option_Data_Demo!$A$5:$A$21,Option_Data_Demo!$H$5:$H$21))</x:f>
      </x:c>
      <x:c r="Q12" s="100" t="str">
        <x:f>IF(L12="","",XLOOKUP(A12&amp;"-"&amp;E12,Option_Data_Demo!$A$5:$A$21,Option_Data_Demo!$I$5:$I$21))</x:f>
      </x:c>
      <x:c r="R12" s="82" t="str">
        <x:f>IF(L12="","",M12*K12*100)</x:f>
      </x:c>
      <x:c r="S12" s="82" t="str">
        <x:f>IF(L12="","",N12*K12*100)</x:f>
      </x:c>
      <x:c r="T12" s="82" t="str">
        <x:f>IF(L12="","",O12*K12*100)</x:f>
      </x:c>
      <x:c r="U12" s="82" t="str">
        <x:f>IF(L12="","",P12*K12*100)</x:f>
      </x:c>
      <x:c r="V12" s="82" t="str">
        <x:f>IF(L12="","",L12*K12*100)</x:f>
      </x:c>
      <x:c r="W12" s="20" t="str">
        <x:f>INDEX(Options_Journal!$N$5:$N$14,INT((ROW()-5)/3)+5-4)</x:f>
        <x:v>BIOTECH</x:v>
      </x:c>
      <x:c r="X12" s="20" t="str">
        <x:f>INDEX(Options_Journal!$B$5:$B$14,INT((ROW()-5)/3)+5-4)</x:f>
        <x:v>Spec</x:v>
      </x:c>
      <x:c r="Y12" s="61" t="n">
        <x:f>INT((ROW()-5)/3)+5</x:f>
        <x:v>7</x:v>
      </x:c>
      <x:c r="Z12" s="61" t="str">
        <x:f>IF(E12&gt;F12,"",IF(E12=1,IFERROR(LEFT(INDEX(Options_Journal!$G$5:$G$14,INT((ROW()-5)/3)+5-4),FIND("/",INDEX(Options_Journal!$G$5:$G$14,INT((ROW()-5)/3)+5-4))-1),INDEX(Options_Journal!$G$5:$G$14,INT((ROW()-5)/3)+5-4)),IF(E12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13">
      <x:c r="A13" s="20" t="n">
        <x:f>INDEX(Options_Journal!$A$5:$A$14,INT((ROW()-5)/3)+5-4)</x:f>
        <x:v>3</x:v>
      </x:c>
      <x:c r="B13" s="20" t="str">
        <x:f>INDEX(Options_Journal!$E$5:$E$14,INT((ROW()-5)/3)+5-4)</x:f>
        <x:v>IONS</x:v>
      </x:c>
      <x:c r="C13" s="20" t="str">
        <x:f>INDEX(Options_Journal!$F$5:$F$14,INT((ROW()-5)/3)+5-4)</x:f>
        <x:v>Call</x:v>
      </x:c>
      <x:c r="D13" s="20" t="n">
        <x:f>INDEX(Options_Journal!$O$5:$O$14,INT((ROW()-5)/3)+5-4)</x:f>
        <x:v>191</x:v>
      </x:c>
      <x:c r="E13" s="20" t="n">
        <x:f>MOD(ROW()-5,3)+1</x:f>
        <x:v>3</x:v>
      </x:c>
      <x:c r="F13" s="20" t="n">
        <x:f>IF(ISNUMBER(SEARCH("butterfly",C13)),3,IF(OR(ISNUMBER(SEARCH("vcall",C13)),ISNUMBER(SEARCH("vput",C13)),ISNUMBER(SEARCH("vertical",C13))),2,1))</x:f>
        <x:v>1</x:v>
      </x:c>
      <x:c r="G13" s="20" t="str">
        <x:f>IF(E13&gt;F13,"",IF(ISNUMBER(SEARCH("call",C13)),"CALL",IF(ISNUMBER(SEARCH("put",C13)),"PUT","REVIEW")))</x:f>
      </x:c>
      <x:c r="H13" s="20" t="str">
        <x:f>IF(E13&gt;F13,"",IF(F13=1,IF(INDEX(Options_Journal!$K$5:$K$14,INT((ROW()-5)/3)+5-4)&lt;0,"Long","Short"),IF(F13=3,IF(E13=2,"Short","Long"),IF(ISNUMBER(SEARCH("(cr)",C13)),IF(E13=1,"Short","Long"),IF(ISNUMBER(SEARCH("(dr)",C13)),IF(E13=1,"Long","Short"),"Review")))))</x:f>
      </x:c>
      <x:c r="I13" s="20" t="str">
        <x:f>IF(E13&gt;F13,"",IFERROR(VALUE(IF(E13=1,IFERROR(LEFT(INDEX(Options_Journal!$G$5:$G$14,INT((ROW()-5)/3)+5-4),FIND("/",INDEX(Options_Journal!$G$5:$G$14,INT((ROW()-5)/3)+5-4))-1),INDEX(Options_Journal!$G$5:$G$14,INT((ROW()-5)/3)+5-4)),IF(E13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13" s="20" t="str">
        <x:f>IF(E13&gt;F13,"",INDEX(Options_Journal!$J$5:$J$14,INT((ROW()-5)/3)+5-4)*IF(AND(F13=3,E13=2),2,1))</x:f>
      </x:c>
      <x:c r="K13" s="20" t="str">
        <x:f>IF(H13="","",J13*IF(H13="Long",1,-1))</x:f>
      </x:c>
      <x:c r="L13" s="98" t="str">
        <x:f>IF(E13&gt;F13,"",IFERROR(XLOOKUP(A13&amp;"-"&amp;E13,Option_Data_Demo!$A$5:$A$21,Option_Data_Demo!$D$5:$D$21),""))</x:f>
      </x:c>
      <x:c r="M13" s="100" t="str">
        <x:f>IF(L13="","",XLOOKUP(A13&amp;"-"&amp;E13,Option_Data_Demo!$A$5:$A$21,Option_Data_Demo!$E$5:$E$21))</x:f>
      </x:c>
      <x:c r="N13" s="100" t="str">
        <x:f>IF(L13="","",XLOOKUP(A13&amp;"-"&amp;E13,Option_Data_Demo!$A$5:$A$21,Option_Data_Demo!$F$5:$F$21))</x:f>
      </x:c>
      <x:c r="O13" s="100" t="str">
        <x:f>IF(L13="","",XLOOKUP(A13&amp;"-"&amp;E13,Option_Data_Demo!$A$5:$A$21,Option_Data_Demo!$G$5:$G$21))</x:f>
      </x:c>
      <x:c r="P13" s="100" t="str">
        <x:f>IF(L13="","",XLOOKUP(A13&amp;"-"&amp;E13,Option_Data_Demo!$A$5:$A$21,Option_Data_Demo!$H$5:$H$21))</x:f>
      </x:c>
      <x:c r="Q13" s="100" t="str">
        <x:f>IF(L13="","",XLOOKUP(A13&amp;"-"&amp;E13,Option_Data_Demo!$A$5:$A$21,Option_Data_Demo!$I$5:$I$21))</x:f>
      </x:c>
      <x:c r="R13" s="82" t="str">
        <x:f>IF(L13="","",M13*K13*100)</x:f>
      </x:c>
      <x:c r="S13" s="82" t="str">
        <x:f>IF(L13="","",N13*K13*100)</x:f>
      </x:c>
      <x:c r="T13" s="82" t="str">
        <x:f>IF(L13="","",O13*K13*100)</x:f>
      </x:c>
      <x:c r="U13" s="82" t="str">
        <x:f>IF(L13="","",P13*K13*100)</x:f>
      </x:c>
      <x:c r="V13" s="82" t="str">
        <x:f>IF(L13="","",L13*K13*100)</x:f>
      </x:c>
      <x:c r="W13" s="20" t="str">
        <x:f>INDEX(Options_Journal!$N$5:$N$14,INT((ROW()-5)/3)+5-4)</x:f>
        <x:v>BIOTECH</x:v>
      </x:c>
      <x:c r="X13" s="20" t="str">
        <x:f>INDEX(Options_Journal!$B$5:$B$14,INT((ROW()-5)/3)+5-4)</x:f>
        <x:v>Spec</x:v>
      </x:c>
      <x:c r="Y13" s="61" t="n">
        <x:f>INT((ROW()-5)/3)+5</x:f>
        <x:v>7</x:v>
      </x:c>
      <x:c r="Z13" s="61" t="str">
        <x:f>IF(E13&gt;F13,"",IF(E13=1,IFERROR(LEFT(INDEX(Options_Journal!$G$5:$G$14,INT((ROW()-5)/3)+5-4),FIND("/",INDEX(Options_Journal!$G$5:$G$14,INT((ROW()-5)/3)+5-4))-1),INDEX(Options_Journal!$G$5:$G$14,INT((ROW()-5)/3)+5-4)),IF(E13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14">
      <x:c r="A14" s="20" t="n">
        <x:f>INDEX(Options_Journal!$A$5:$A$14,INT((ROW()-5)/3)+5-4)</x:f>
        <x:v>4</x:v>
      </x:c>
      <x:c r="B14" s="20" t="str">
        <x:f>INDEX(Options_Journal!$E$5:$E$14,INT((ROW()-5)/3)+5-4)</x:f>
        <x:v>IBIT</x:v>
      </x:c>
      <x:c r="C14" s="20" t="str">
        <x:f>INDEX(Options_Journal!$F$5:$F$14,INT((ROW()-5)/3)+5-4)</x:f>
        <x:v>Call</x:v>
      </x:c>
      <x:c r="D14" s="20" t="n">
        <x:f>INDEX(Options_Journal!$O$5:$O$14,INT((ROW()-5)/3)+5-4)</x:f>
        <x:v>282</x:v>
      </x:c>
      <x:c r="E14" s="20" t="n">
        <x:f>MOD(ROW()-5,3)+1</x:f>
        <x:v>1</x:v>
      </x:c>
      <x:c r="F14" s="20" t="n">
        <x:f>IF(ISNUMBER(SEARCH("butterfly",C14)),3,IF(OR(ISNUMBER(SEARCH("vcall",C14)),ISNUMBER(SEARCH("vput",C14)),ISNUMBER(SEARCH("vertical",C14))),2,1))</x:f>
        <x:v>1</x:v>
      </x:c>
      <x:c r="G14" s="20" t="str">
        <x:f>IF(E14&gt;F14,"",IF(ISNUMBER(SEARCH("call",C14)),"CALL",IF(ISNUMBER(SEARCH("put",C14)),"PUT","REVIEW")))</x:f>
        <x:v>CALL</x:v>
      </x:c>
      <x:c r="H14" s="20" t="str">
        <x:f>IF(E14&gt;F14,"",IF(F14=1,IF(INDEX(Options_Journal!$K$5:$K$14,INT((ROW()-5)/3)+5-4)&lt;0,"Long","Short"),IF(F14=3,IF(E14=2,"Short","Long"),IF(ISNUMBER(SEARCH("(cr)",C14)),IF(E14=1,"Short","Long"),IF(ISNUMBER(SEARCH("(dr)",C14)),IF(E14=1,"Long","Short"),"Review")))))</x:f>
        <x:v>Long</x:v>
      </x:c>
      <x:c r="I14" s="20" t="n">
        <x:f>IF(E14&gt;F14,"",IFERROR(VALUE(IF(E14=1,IFERROR(LEFT(INDEX(Options_Journal!$G$5:$G$14,INT((ROW()-5)/3)+5-4),FIND("/",INDEX(Options_Journal!$G$5:$G$14,INT((ROW()-5)/3)+5-4))-1),INDEX(Options_Journal!$G$5:$G$14,INT((ROW()-5)/3)+5-4)),IF(E14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65</x:v>
      </x:c>
      <x:c r="J14" s="20" t="n">
        <x:f>IF(E14&gt;F14,"",INDEX(Options_Journal!$J$5:$J$14,INT((ROW()-5)/3)+5-4)*IF(AND(F14=3,E14=2),2,1))</x:f>
        <x:v>1</x:v>
      </x:c>
      <x:c r="K14" s="20" t="n">
        <x:f>IF(H14="","",J14*IF(H14="Long",1,-1))</x:f>
        <x:v>1</x:v>
      </x:c>
      <x:c r="L14" s="98" t="n">
        <x:f>IF(E14&gt;F14,"",IFERROR(XLOOKUP(A14&amp;"-"&amp;E14,Option_Data_Demo!$A$5:$A$21,Option_Data_Demo!$D$5:$D$21),""))</x:f>
        <x:v>9.8</x:v>
      </x:c>
      <x:c r="M14" s="100" t="n">
        <x:f>IF(L14="","",XLOOKUP(A14&amp;"-"&amp;E14,Option_Data_Demo!$A$5:$A$21,Option_Data_Demo!$E$5:$E$21))</x:f>
        <x:v>0.61</x:v>
      </x:c>
      <x:c r="N14" s="100" t="n">
        <x:f>IF(L14="","",XLOOKUP(A14&amp;"-"&amp;E14,Option_Data_Demo!$A$5:$A$21,Option_Data_Demo!$F$5:$F$21))</x:f>
        <x:v>-0.025</x:v>
      </x:c>
      <x:c r="O14" s="100" t="n">
        <x:f>IF(L14="","",XLOOKUP(A14&amp;"-"&amp;E14,Option_Data_Demo!$A$5:$A$21,Option_Data_Demo!$G$5:$G$21))</x:f>
        <x:v>0.31</x:v>
      </x:c>
      <x:c r="P14" s="100" t="n">
        <x:f>IF(L14="","",XLOOKUP(A14&amp;"-"&amp;E14,Option_Data_Demo!$A$5:$A$21,Option_Data_Demo!$H$5:$H$21))</x:f>
        <x:v>0.014</x:v>
      </x:c>
      <x:c r="Q14" s="100" t="n">
        <x:f>IF(L14="","",XLOOKUP(A14&amp;"-"&amp;E14,Option_Data_Demo!$A$5:$A$21,Option_Data_Demo!$I$5:$I$21))</x:f>
        <x:v>0.62</x:v>
      </x:c>
      <x:c r="R14" s="82" t="n">
        <x:f>IF(L14="","",M14*K14*100)</x:f>
        <x:v>61</x:v>
      </x:c>
      <x:c r="S14" s="82" t="n">
        <x:f>IF(L14="","",N14*K14*100)</x:f>
        <x:v>-2.5</x:v>
      </x:c>
      <x:c r="T14" s="82" t="n">
        <x:f>IF(L14="","",O14*K14*100)</x:f>
        <x:v>31</x:v>
      </x:c>
      <x:c r="U14" s="82" t="n">
        <x:f>IF(L14="","",P14*K14*100)</x:f>
        <x:v>1.4000000000000001</x:v>
      </x:c>
      <x:c r="V14" s="82" t="n">
        <x:f>IF(L14="","",L14*K14*100)</x:f>
        <x:v>980.0000000000001</x:v>
      </x:c>
      <x:c r="W14" s="20" t="str">
        <x:f>INDEX(Options_Journal!$N$5:$N$14,INT((ROW()-5)/3)+5-4)</x:f>
        <x:v>CRYPTO</x:v>
      </x:c>
      <x:c r="X14" s="20" t="str">
        <x:f>INDEX(Options_Journal!$B$5:$B$14,INT((ROW()-5)/3)+5-4)</x:f>
        <x:v>Macro</x:v>
      </x:c>
      <x:c r="Y14" s="61" t="n">
        <x:f>INT((ROW()-5)/3)+5</x:f>
        <x:v>8</x:v>
      </x:c>
      <x:c r="Z14" s="61" t="n">
        <x:f>IF(E14&gt;F14,"",IF(E14=1,IFERROR(LEFT(INDEX(Options_Journal!$G$5:$G$14,INT((ROW()-5)/3)+5-4),FIND("/",INDEX(Options_Journal!$G$5:$G$14,INT((ROW()-5)/3)+5-4))-1),INDEX(Options_Journal!$G$5:$G$14,INT((ROW()-5)/3)+5-4)),IF(E14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65</x:v>
      </x:c>
    </x:row>
    <x:row r="15">
      <x:c r="A15" s="20" t="n">
        <x:f>INDEX(Options_Journal!$A$5:$A$14,INT((ROW()-5)/3)+5-4)</x:f>
        <x:v>4</x:v>
      </x:c>
      <x:c r="B15" s="20" t="str">
        <x:f>INDEX(Options_Journal!$E$5:$E$14,INT((ROW()-5)/3)+5-4)</x:f>
        <x:v>IBIT</x:v>
      </x:c>
      <x:c r="C15" s="20" t="str">
        <x:f>INDEX(Options_Journal!$F$5:$F$14,INT((ROW()-5)/3)+5-4)</x:f>
        <x:v>Call</x:v>
      </x:c>
      <x:c r="D15" s="20" t="n">
        <x:f>INDEX(Options_Journal!$O$5:$O$14,INT((ROW()-5)/3)+5-4)</x:f>
        <x:v>282</x:v>
      </x:c>
      <x:c r="E15" s="20" t="n">
        <x:f>MOD(ROW()-5,3)+1</x:f>
        <x:v>2</x:v>
      </x:c>
      <x:c r="F15" s="20" t="n">
        <x:f>IF(ISNUMBER(SEARCH("butterfly",C15)),3,IF(OR(ISNUMBER(SEARCH("vcall",C15)),ISNUMBER(SEARCH("vput",C15)),ISNUMBER(SEARCH("vertical",C15))),2,1))</x:f>
        <x:v>1</x:v>
      </x:c>
      <x:c r="G15" s="20" t="str">
        <x:f>IF(E15&gt;F15,"",IF(ISNUMBER(SEARCH("call",C15)),"CALL",IF(ISNUMBER(SEARCH("put",C15)),"PUT","REVIEW")))</x:f>
      </x:c>
      <x:c r="H15" s="20" t="str">
        <x:f>IF(E15&gt;F15,"",IF(F15=1,IF(INDEX(Options_Journal!$K$5:$K$14,INT((ROW()-5)/3)+5-4)&lt;0,"Long","Short"),IF(F15=3,IF(E15=2,"Short","Long"),IF(ISNUMBER(SEARCH("(cr)",C15)),IF(E15=1,"Short","Long"),IF(ISNUMBER(SEARCH("(dr)",C15)),IF(E15=1,"Long","Short"),"Review")))))</x:f>
      </x:c>
      <x:c r="I15" s="20" t="str">
        <x:f>IF(E15&gt;F15,"",IFERROR(VALUE(IF(E15=1,IFERROR(LEFT(INDEX(Options_Journal!$G$5:$G$14,INT((ROW()-5)/3)+5-4),FIND("/",INDEX(Options_Journal!$G$5:$G$14,INT((ROW()-5)/3)+5-4))-1),INDEX(Options_Journal!$G$5:$G$14,INT((ROW()-5)/3)+5-4)),IF(E15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15" s="20" t="str">
        <x:f>IF(E15&gt;F15,"",INDEX(Options_Journal!$J$5:$J$14,INT((ROW()-5)/3)+5-4)*IF(AND(F15=3,E15=2),2,1))</x:f>
      </x:c>
      <x:c r="K15" s="20" t="str">
        <x:f>IF(H15="","",J15*IF(H15="Long",1,-1))</x:f>
      </x:c>
      <x:c r="L15" s="98" t="str">
        <x:f>IF(E15&gt;F15,"",IFERROR(XLOOKUP(A15&amp;"-"&amp;E15,Option_Data_Demo!$A$5:$A$21,Option_Data_Demo!$D$5:$D$21),""))</x:f>
      </x:c>
      <x:c r="M15" s="100" t="str">
        <x:f>IF(L15="","",XLOOKUP(A15&amp;"-"&amp;E15,Option_Data_Demo!$A$5:$A$21,Option_Data_Demo!$E$5:$E$21))</x:f>
      </x:c>
      <x:c r="N15" s="100" t="str">
        <x:f>IF(L15="","",XLOOKUP(A15&amp;"-"&amp;E15,Option_Data_Demo!$A$5:$A$21,Option_Data_Demo!$F$5:$F$21))</x:f>
      </x:c>
      <x:c r="O15" s="100" t="str">
        <x:f>IF(L15="","",XLOOKUP(A15&amp;"-"&amp;E15,Option_Data_Demo!$A$5:$A$21,Option_Data_Demo!$G$5:$G$21))</x:f>
      </x:c>
      <x:c r="P15" s="100" t="str">
        <x:f>IF(L15="","",XLOOKUP(A15&amp;"-"&amp;E15,Option_Data_Demo!$A$5:$A$21,Option_Data_Demo!$H$5:$H$21))</x:f>
      </x:c>
      <x:c r="Q15" s="100" t="str">
        <x:f>IF(L15="","",XLOOKUP(A15&amp;"-"&amp;E15,Option_Data_Demo!$A$5:$A$21,Option_Data_Demo!$I$5:$I$21))</x:f>
      </x:c>
      <x:c r="R15" s="82" t="str">
        <x:f>IF(L15="","",M15*K15*100)</x:f>
      </x:c>
      <x:c r="S15" s="82" t="str">
        <x:f>IF(L15="","",N15*K15*100)</x:f>
      </x:c>
      <x:c r="T15" s="82" t="str">
        <x:f>IF(L15="","",O15*K15*100)</x:f>
      </x:c>
      <x:c r="U15" s="82" t="str">
        <x:f>IF(L15="","",P15*K15*100)</x:f>
      </x:c>
      <x:c r="V15" s="82" t="str">
        <x:f>IF(L15="","",L15*K15*100)</x:f>
      </x:c>
      <x:c r="W15" s="20" t="str">
        <x:f>INDEX(Options_Journal!$N$5:$N$14,INT((ROW()-5)/3)+5-4)</x:f>
        <x:v>CRYPTO</x:v>
      </x:c>
      <x:c r="X15" s="20" t="str">
        <x:f>INDEX(Options_Journal!$B$5:$B$14,INT((ROW()-5)/3)+5-4)</x:f>
        <x:v>Macro</x:v>
      </x:c>
      <x:c r="Y15" s="61" t="n">
        <x:f>INT((ROW()-5)/3)+5</x:f>
        <x:v>8</x:v>
      </x:c>
      <x:c r="Z15" s="61" t="str">
        <x:f>IF(E15&gt;F15,"",IF(E15=1,IFERROR(LEFT(INDEX(Options_Journal!$G$5:$G$14,INT((ROW()-5)/3)+5-4),FIND("/",INDEX(Options_Journal!$G$5:$G$14,INT((ROW()-5)/3)+5-4))-1),INDEX(Options_Journal!$G$5:$G$14,INT((ROW()-5)/3)+5-4)),IF(E15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16">
      <x:c r="A16" s="20" t="n">
        <x:f>INDEX(Options_Journal!$A$5:$A$14,INT((ROW()-5)/3)+5-4)</x:f>
        <x:v>4</x:v>
      </x:c>
      <x:c r="B16" s="20" t="str">
        <x:f>INDEX(Options_Journal!$E$5:$E$14,INT((ROW()-5)/3)+5-4)</x:f>
        <x:v>IBIT</x:v>
      </x:c>
      <x:c r="C16" s="20" t="str">
        <x:f>INDEX(Options_Journal!$F$5:$F$14,INT((ROW()-5)/3)+5-4)</x:f>
        <x:v>Call</x:v>
      </x:c>
      <x:c r="D16" s="20" t="n">
        <x:f>INDEX(Options_Journal!$O$5:$O$14,INT((ROW()-5)/3)+5-4)</x:f>
        <x:v>282</x:v>
      </x:c>
      <x:c r="E16" s="20" t="n">
        <x:f>MOD(ROW()-5,3)+1</x:f>
        <x:v>3</x:v>
      </x:c>
      <x:c r="F16" s="20" t="n">
        <x:f>IF(ISNUMBER(SEARCH("butterfly",C16)),3,IF(OR(ISNUMBER(SEARCH("vcall",C16)),ISNUMBER(SEARCH("vput",C16)),ISNUMBER(SEARCH("vertical",C16))),2,1))</x:f>
        <x:v>1</x:v>
      </x:c>
      <x:c r="G16" s="20" t="str">
        <x:f>IF(E16&gt;F16,"",IF(ISNUMBER(SEARCH("call",C16)),"CALL",IF(ISNUMBER(SEARCH("put",C16)),"PUT","REVIEW")))</x:f>
      </x:c>
      <x:c r="H16" s="20" t="str">
        <x:f>IF(E16&gt;F16,"",IF(F16=1,IF(INDEX(Options_Journal!$K$5:$K$14,INT((ROW()-5)/3)+5-4)&lt;0,"Long","Short"),IF(F16=3,IF(E16=2,"Short","Long"),IF(ISNUMBER(SEARCH("(cr)",C16)),IF(E16=1,"Short","Long"),IF(ISNUMBER(SEARCH("(dr)",C16)),IF(E16=1,"Long","Short"),"Review")))))</x:f>
      </x:c>
      <x:c r="I16" s="20" t="str">
        <x:f>IF(E16&gt;F16,"",IFERROR(VALUE(IF(E16=1,IFERROR(LEFT(INDEX(Options_Journal!$G$5:$G$14,INT((ROW()-5)/3)+5-4),FIND("/",INDEX(Options_Journal!$G$5:$G$14,INT((ROW()-5)/3)+5-4))-1),INDEX(Options_Journal!$G$5:$G$14,INT((ROW()-5)/3)+5-4)),IF(E16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16" s="20" t="str">
        <x:f>IF(E16&gt;F16,"",INDEX(Options_Journal!$J$5:$J$14,INT((ROW()-5)/3)+5-4)*IF(AND(F16=3,E16=2),2,1))</x:f>
      </x:c>
      <x:c r="K16" s="20" t="str">
        <x:f>IF(H16="","",J16*IF(H16="Long",1,-1))</x:f>
      </x:c>
      <x:c r="L16" s="98" t="str">
        <x:f>IF(E16&gt;F16,"",IFERROR(XLOOKUP(A16&amp;"-"&amp;E16,Option_Data_Demo!$A$5:$A$21,Option_Data_Demo!$D$5:$D$21),""))</x:f>
      </x:c>
      <x:c r="M16" s="100" t="str">
        <x:f>IF(L16="","",XLOOKUP(A16&amp;"-"&amp;E16,Option_Data_Demo!$A$5:$A$21,Option_Data_Demo!$E$5:$E$21))</x:f>
      </x:c>
      <x:c r="N16" s="100" t="str">
        <x:f>IF(L16="","",XLOOKUP(A16&amp;"-"&amp;E16,Option_Data_Demo!$A$5:$A$21,Option_Data_Demo!$F$5:$F$21))</x:f>
      </x:c>
      <x:c r="O16" s="100" t="str">
        <x:f>IF(L16="","",XLOOKUP(A16&amp;"-"&amp;E16,Option_Data_Demo!$A$5:$A$21,Option_Data_Demo!$G$5:$G$21))</x:f>
      </x:c>
      <x:c r="P16" s="100" t="str">
        <x:f>IF(L16="","",XLOOKUP(A16&amp;"-"&amp;E16,Option_Data_Demo!$A$5:$A$21,Option_Data_Demo!$H$5:$H$21))</x:f>
      </x:c>
      <x:c r="Q16" s="100" t="str">
        <x:f>IF(L16="","",XLOOKUP(A16&amp;"-"&amp;E16,Option_Data_Demo!$A$5:$A$21,Option_Data_Demo!$I$5:$I$21))</x:f>
      </x:c>
      <x:c r="R16" s="82" t="str">
        <x:f>IF(L16="","",M16*K16*100)</x:f>
      </x:c>
      <x:c r="S16" s="82" t="str">
        <x:f>IF(L16="","",N16*K16*100)</x:f>
      </x:c>
      <x:c r="T16" s="82" t="str">
        <x:f>IF(L16="","",O16*K16*100)</x:f>
      </x:c>
      <x:c r="U16" s="82" t="str">
        <x:f>IF(L16="","",P16*K16*100)</x:f>
      </x:c>
      <x:c r="V16" s="82" t="str">
        <x:f>IF(L16="","",L16*K16*100)</x:f>
      </x:c>
      <x:c r="W16" s="20" t="str">
        <x:f>INDEX(Options_Journal!$N$5:$N$14,INT((ROW()-5)/3)+5-4)</x:f>
        <x:v>CRYPTO</x:v>
      </x:c>
      <x:c r="X16" s="20" t="str">
        <x:f>INDEX(Options_Journal!$B$5:$B$14,INT((ROW()-5)/3)+5-4)</x:f>
        <x:v>Macro</x:v>
      </x:c>
      <x:c r="Y16" s="61" t="n">
        <x:f>INT((ROW()-5)/3)+5</x:f>
        <x:v>8</x:v>
      </x:c>
      <x:c r="Z16" s="61" t="str">
        <x:f>IF(E16&gt;F16,"",IF(E16=1,IFERROR(LEFT(INDEX(Options_Journal!$G$5:$G$14,INT((ROW()-5)/3)+5-4),FIND("/",INDEX(Options_Journal!$G$5:$G$14,INT((ROW()-5)/3)+5-4))-1),INDEX(Options_Journal!$G$5:$G$14,INT((ROW()-5)/3)+5-4)),IF(E16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17">
      <x:c r="A17" s="20" t="n">
        <x:f>INDEX(Options_Journal!$A$5:$A$14,INT((ROW()-5)/3)+5-4)</x:f>
        <x:v>5</x:v>
      </x:c>
      <x:c r="B17" s="20" t="str">
        <x:f>INDEX(Options_Journal!$E$5:$E$14,INT((ROW()-5)/3)+5-4)</x:f>
        <x:v>XLE</x:v>
      </x:c>
      <x:c r="C17" s="20" t="str">
        <x:f>INDEX(Options_Journal!$F$5:$F$14,INT((ROW()-5)/3)+5-4)</x:f>
        <x:v>Vput(dr)</x:v>
      </x:c>
      <x:c r="D17" s="20" t="n">
        <x:f>INDEX(Options_Journal!$O$5:$O$14,INT((ROW()-5)/3)+5-4)</x:f>
        <x:v>100</x:v>
      </x:c>
      <x:c r="E17" s="20" t="n">
        <x:f>MOD(ROW()-5,3)+1</x:f>
        <x:v>1</x:v>
      </x:c>
      <x:c r="F17" s="20" t="n">
        <x:f>IF(ISNUMBER(SEARCH("butterfly",C17)),3,IF(OR(ISNUMBER(SEARCH("vcall",C17)),ISNUMBER(SEARCH("vput",C17)),ISNUMBER(SEARCH("vertical",C17))),2,1))</x:f>
        <x:v>2</x:v>
      </x:c>
      <x:c r="G17" s="20" t="str">
        <x:f>IF(E17&gt;F17,"",IF(ISNUMBER(SEARCH("call",C17)),"CALL",IF(ISNUMBER(SEARCH("put",C17)),"PUT","REVIEW")))</x:f>
        <x:v>PUT</x:v>
      </x:c>
      <x:c r="H17" s="20" t="str">
        <x:f>IF(E17&gt;F17,"",IF(F17=1,IF(INDEX(Options_Journal!$K$5:$K$14,INT((ROW()-5)/3)+5-4)&lt;0,"Long","Short"),IF(F17=3,IF(E17=2,"Short","Long"),IF(ISNUMBER(SEARCH("(cr)",C17)),IF(E17=1,"Short","Long"),IF(ISNUMBER(SEARCH("(dr)",C17)),IF(E17=1,"Long","Short"),"Review")))))</x:f>
        <x:v>Long</x:v>
      </x:c>
      <x:c r="I17" s="20" t="n">
        <x:f>IF(E17&gt;F17,"",IFERROR(VALUE(IF(E17=1,IFERROR(LEFT(INDEX(Options_Journal!$G$5:$G$14,INT((ROW()-5)/3)+5-4),FIND("/",INDEX(Options_Journal!$G$5:$G$14,INT((ROW()-5)/3)+5-4))-1),INDEX(Options_Journal!$G$5:$G$14,INT((ROW()-5)/3)+5-4)),IF(E17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85</x:v>
      </x:c>
      <x:c r="J17" s="20" t="n">
        <x:f>IF(E17&gt;F17,"",INDEX(Options_Journal!$J$5:$J$14,INT((ROW()-5)/3)+5-4)*IF(AND(F17=3,E17=2),2,1))</x:f>
        <x:v>2</x:v>
      </x:c>
      <x:c r="K17" s="20" t="n">
        <x:f>IF(H17="","",J17*IF(H17="Long",1,-1))</x:f>
        <x:v>2</x:v>
      </x:c>
      <x:c r="L17" s="98" t="n">
        <x:f>IF(E17&gt;F17,"",IFERROR(XLOOKUP(A17&amp;"-"&amp;E17,Option_Data_Demo!$A$5:$A$21,Option_Data_Demo!$D$5:$D$21),""))</x:f>
        <x:v>2.4</x:v>
      </x:c>
      <x:c r="M17" s="100" t="n">
        <x:f>IF(L17="","",XLOOKUP(A17&amp;"-"&amp;E17,Option_Data_Demo!$A$5:$A$21,Option_Data_Demo!$E$5:$E$21))</x:f>
        <x:v>-0.31</x:v>
      </x:c>
      <x:c r="N17" s="100" t="n">
        <x:f>IF(L17="","",XLOOKUP(A17&amp;"-"&amp;E17,Option_Data_Demo!$A$5:$A$21,Option_Data_Demo!$F$5:$F$21))</x:f>
        <x:v>-0.025</x:v>
      </x:c>
      <x:c r="O17" s="100" t="n">
        <x:f>IF(L17="","",XLOOKUP(A17&amp;"-"&amp;E17,Option_Data_Demo!$A$5:$A$21,Option_Data_Demo!$G$5:$G$21))</x:f>
        <x:v>0.12</x:v>
      </x:c>
      <x:c r="P17" s="100" t="n">
        <x:f>IF(L17="","",XLOOKUP(A17&amp;"-"&amp;E17,Option_Data_Demo!$A$5:$A$21,Option_Data_Demo!$H$5:$H$21))</x:f>
        <x:v>0.022</x:v>
      </x:c>
      <x:c r="Q17" s="100" t="n">
        <x:f>IF(L17="","",XLOOKUP(A17&amp;"-"&amp;E17,Option_Data_Demo!$A$5:$A$21,Option_Data_Demo!$I$5:$I$21))</x:f>
        <x:v>0.3</x:v>
      </x:c>
      <x:c r="R17" s="82" t="n">
        <x:f>IF(L17="","",M17*K17*100)</x:f>
        <x:v>-62</x:v>
      </x:c>
      <x:c r="S17" s="82" t="n">
        <x:f>IF(L17="","",N17*K17*100)</x:f>
        <x:v>-5</x:v>
      </x:c>
      <x:c r="T17" s="82" t="n">
        <x:f>IF(L17="","",O17*K17*100)</x:f>
        <x:v>24</x:v>
      </x:c>
      <x:c r="U17" s="82" t="n">
        <x:f>IF(L17="","",P17*K17*100)</x:f>
        <x:v>4.3999999999999995</x:v>
      </x:c>
      <x:c r="V17" s="82" t="n">
        <x:f>IF(L17="","",L17*K17*100)</x:f>
        <x:v>480</x:v>
      </x:c>
      <x:c r="W17" s="20" t="str">
        <x:f>INDEX(Options_Journal!$N$5:$N$14,INT((ROW()-5)/3)+5-4)</x:f>
        <x:v>ENERGY</x:v>
      </x:c>
      <x:c r="X17" s="20" t="str">
        <x:f>INDEX(Options_Journal!$B$5:$B$14,INT((ROW()-5)/3)+5-4)</x:f>
        <x:v>Macro</x:v>
      </x:c>
      <x:c r="Y17" s="61" t="n">
        <x:f>INT((ROW()-5)/3)+5</x:f>
        <x:v>9</x:v>
      </x:c>
      <x:c r="Z17" s="61" t="n">
        <x:f>IF(E17&gt;F17,"",IF(E17=1,IFERROR(LEFT(INDEX(Options_Journal!$G$5:$G$14,INT((ROW()-5)/3)+5-4),FIND("/",INDEX(Options_Journal!$G$5:$G$14,INT((ROW()-5)/3)+5-4))-1),INDEX(Options_Journal!$G$5:$G$14,INT((ROW()-5)/3)+5-4)),IF(E17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85</x:v>
      </x:c>
    </x:row>
    <x:row r="18">
      <x:c r="A18" s="20" t="n">
        <x:f>INDEX(Options_Journal!$A$5:$A$14,INT((ROW()-5)/3)+5-4)</x:f>
        <x:v>5</x:v>
      </x:c>
      <x:c r="B18" s="20" t="str">
        <x:f>INDEX(Options_Journal!$E$5:$E$14,INT((ROW()-5)/3)+5-4)</x:f>
        <x:v>XLE</x:v>
      </x:c>
      <x:c r="C18" s="20" t="str">
        <x:f>INDEX(Options_Journal!$F$5:$F$14,INT((ROW()-5)/3)+5-4)</x:f>
        <x:v>Vput(dr)</x:v>
      </x:c>
      <x:c r="D18" s="20" t="n">
        <x:f>INDEX(Options_Journal!$O$5:$O$14,INT((ROW()-5)/3)+5-4)</x:f>
        <x:v>100</x:v>
      </x:c>
      <x:c r="E18" s="20" t="n">
        <x:f>MOD(ROW()-5,3)+1</x:f>
        <x:v>2</x:v>
      </x:c>
      <x:c r="F18" s="20" t="n">
        <x:f>IF(ISNUMBER(SEARCH("butterfly",C18)),3,IF(OR(ISNUMBER(SEARCH("vcall",C18)),ISNUMBER(SEARCH("vput",C18)),ISNUMBER(SEARCH("vertical",C18))),2,1))</x:f>
        <x:v>2</x:v>
      </x:c>
      <x:c r="G18" s="20" t="str">
        <x:f>IF(E18&gt;F18,"",IF(ISNUMBER(SEARCH("call",C18)),"CALL",IF(ISNUMBER(SEARCH("put",C18)),"PUT","REVIEW")))</x:f>
        <x:v>PUT</x:v>
      </x:c>
      <x:c r="H18" s="20" t="str">
        <x:f>IF(E18&gt;F18,"",IF(F18=1,IF(INDEX(Options_Journal!$K$5:$K$14,INT((ROW()-5)/3)+5-4)&lt;0,"Long","Short"),IF(F18=3,IF(E18=2,"Short","Long"),IF(ISNUMBER(SEARCH("(cr)",C18)),IF(E18=1,"Short","Long"),IF(ISNUMBER(SEARCH("(dr)",C18)),IF(E18=1,"Long","Short"),"Review")))))</x:f>
        <x:v>Short</x:v>
      </x:c>
      <x:c r="I18" s="20" t="n">
        <x:f>IF(E18&gt;F18,"",IFERROR(VALUE(IF(E18=1,IFERROR(LEFT(INDEX(Options_Journal!$G$5:$G$14,INT((ROW()-5)/3)+5-4),FIND("/",INDEX(Options_Journal!$G$5:$G$14,INT((ROW()-5)/3)+5-4))-1),INDEX(Options_Journal!$G$5:$G$14,INT((ROW()-5)/3)+5-4)),IF(E18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80</x:v>
      </x:c>
      <x:c r="J18" s="20" t="n">
        <x:f>IF(E18&gt;F18,"",INDEX(Options_Journal!$J$5:$J$14,INT((ROW()-5)/3)+5-4)*IF(AND(F18=3,E18=2),2,1))</x:f>
        <x:v>2</x:v>
      </x:c>
      <x:c r="K18" s="20" t="n">
        <x:f>IF(H18="","",J18*IF(H18="Long",1,-1))</x:f>
        <x:v>-2</x:v>
      </x:c>
      <x:c r="L18" s="98" t="n">
        <x:f>IF(E18&gt;F18,"",IFERROR(XLOOKUP(A18&amp;"-"&amp;E18,Option_Data_Demo!$A$5:$A$21,Option_Data_Demo!$D$5:$D$21),""))</x:f>
        <x:v>1</x:v>
      </x:c>
      <x:c r="M18" s="100" t="n">
        <x:f>IF(L18="","",XLOOKUP(A18&amp;"-"&amp;E18,Option_Data_Demo!$A$5:$A$21,Option_Data_Demo!$E$5:$E$21))</x:f>
        <x:v>-0.17</x:v>
      </x:c>
      <x:c r="N18" s="100" t="n">
        <x:f>IF(L18="","",XLOOKUP(A18&amp;"-"&amp;E18,Option_Data_Demo!$A$5:$A$21,Option_Data_Demo!$F$5:$F$21))</x:f>
        <x:v>-0.018</x:v>
      </x:c>
      <x:c r="O18" s="100" t="n">
        <x:f>IF(L18="","",XLOOKUP(A18&amp;"-"&amp;E18,Option_Data_Demo!$A$5:$A$21,Option_Data_Demo!$G$5:$G$21))</x:f>
        <x:v>0.1</x:v>
      </x:c>
      <x:c r="P18" s="100" t="n">
        <x:f>IF(L18="","",XLOOKUP(A18&amp;"-"&amp;E18,Option_Data_Demo!$A$5:$A$21,Option_Data_Demo!$H$5:$H$21))</x:f>
        <x:v>0.016</x:v>
      </x:c>
      <x:c r="Q18" s="100" t="n">
        <x:f>IF(L18="","",XLOOKUP(A18&amp;"-"&amp;E18,Option_Data_Demo!$A$5:$A$21,Option_Data_Demo!$I$5:$I$21))</x:f>
        <x:v>0.31</x:v>
      </x:c>
      <x:c r="R18" s="82" t="n">
        <x:f>IF(L18="","",M18*K18*100)</x:f>
        <x:v>34</x:v>
      </x:c>
      <x:c r="S18" s="82" t="n">
        <x:f>IF(L18="","",N18*K18*100)</x:f>
        <x:v>3.5999999999999996</x:v>
      </x:c>
      <x:c r="T18" s="82" t="n">
        <x:f>IF(L18="","",O18*K18*100)</x:f>
        <x:v>-20</x:v>
      </x:c>
      <x:c r="U18" s="82" t="n">
        <x:f>IF(L18="","",P18*K18*100)</x:f>
        <x:v>-3.2</x:v>
      </x:c>
      <x:c r="V18" s="82" t="n">
        <x:f>IF(L18="","",L18*K18*100)</x:f>
        <x:v>-200</x:v>
      </x:c>
      <x:c r="W18" s="20" t="str">
        <x:f>INDEX(Options_Journal!$N$5:$N$14,INT((ROW()-5)/3)+5-4)</x:f>
        <x:v>ENERGY</x:v>
      </x:c>
      <x:c r="X18" s="20" t="str">
        <x:f>INDEX(Options_Journal!$B$5:$B$14,INT((ROW()-5)/3)+5-4)</x:f>
        <x:v>Macro</x:v>
      </x:c>
      <x:c r="Y18" s="61" t="n">
        <x:f>INT((ROW()-5)/3)+5</x:f>
        <x:v>9</x:v>
      </x:c>
      <x:c r="Z18" s="61" t="n">
        <x:f>IF(E18&gt;F18,"",IF(E18=1,IFERROR(LEFT(INDEX(Options_Journal!$G$5:$G$14,INT((ROW()-5)/3)+5-4),FIND("/",INDEX(Options_Journal!$G$5:$G$14,INT((ROW()-5)/3)+5-4))-1),INDEX(Options_Journal!$G$5:$G$14,INT((ROW()-5)/3)+5-4)),IF(E18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80</x:v>
      </x:c>
    </x:row>
    <x:row r="19">
      <x:c r="A19" s="20" t="n">
        <x:f>INDEX(Options_Journal!$A$5:$A$14,INT((ROW()-5)/3)+5-4)</x:f>
        <x:v>5</x:v>
      </x:c>
      <x:c r="B19" s="20" t="str">
        <x:f>INDEX(Options_Journal!$E$5:$E$14,INT((ROW()-5)/3)+5-4)</x:f>
        <x:v>XLE</x:v>
      </x:c>
      <x:c r="C19" s="20" t="str">
        <x:f>INDEX(Options_Journal!$F$5:$F$14,INT((ROW()-5)/3)+5-4)</x:f>
        <x:v>Vput(dr)</x:v>
      </x:c>
      <x:c r="D19" s="20" t="n">
        <x:f>INDEX(Options_Journal!$O$5:$O$14,INT((ROW()-5)/3)+5-4)</x:f>
        <x:v>100</x:v>
      </x:c>
      <x:c r="E19" s="20" t="n">
        <x:f>MOD(ROW()-5,3)+1</x:f>
        <x:v>3</x:v>
      </x:c>
      <x:c r="F19" s="20" t="n">
        <x:f>IF(ISNUMBER(SEARCH("butterfly",C19)),3,IF(OR(ISNUMBER(SEARCH("vcall",C19)),ISNUMBER(SEARCH("vput",C19)),ISNUMBER(SEARCH("vertical",C19))),2,1))</x:f>
        <x:v>2</x:v>
      </x:c>
      <x:c r="G19" s="20" t="str">
        <x:f>IF(E19&gt;F19,"",IF(ISNUMBER(SEARCH("call",C19)),"CALL",IF(ISNUMBER(SEARCH("put",C19)),"PUT","REVIEW")))</x:f>
      </x:c>
      <x:c r="H19" s="20" t="str">
        <x:f>IF(E19&gt;F19,"",IF(F19=1,IF(INDEX(Options_Journal!$K$5:$K$14,INT((ROW()-5)/3)+5-4)&lt;0,"Long","Short"),IF(F19=3,IF(E19=2,"Short","Long"),IF(ISNUMBER(SEARCH("(cr)",C19)),IF(E19=1,"Short","Long"),IF(ISNUMBER(SEARCH("(dr)",C19)),IF(E19=1,"Long","Short"),"Review")))))</x:f>
      </x:c>
      <x:c r="I19" s="20" t="str">
        <x:f>IF(E19&gt;F19,"",IFERROR(VALUE(IF(E19=1,IFERROR(LEFT(INDEX(Options_Journal!$G$5:$G$14,INT((ROW()-5)/3)+5-4),FIND("/",INDEX(Options_Journal!$G$5:$G$14,INT((ROW()-5)/3)+5-4))-1),INDEX(Options_Journal!$G$5:$G$14,INT((ROW()-5)/3)+5-4)),IF(E19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19" s="20" t="str">
        <x:f>IF(E19&gt;F19,"",INDEX(Options_Journal!$J$5:$J$14,INT((ROW()-5)/3)+5-4)*IF(AND(F19=3,E19=2),2,1))</x:f>
      </x:c>
      <x:c r="K19" s="20" t="str">
        <x:f>IF(H19="","",J19*IF(H19="Long",1,-1))</x:f>
      </x:c>
      <x:c r="L19" s="98" t="str">
        <x:f>IF(E19&gt;F19,"",IFERROR(XLOOKUP(A19&amp;"-"&amp;E19,Option_Data_Demo!$A$5:$A$21,Option_Data_Demo!$D$5:$D$21),""))</x:f>
      </x:c>
      <x:c r="M19" s="100" t="str">
        <x:f>IF(L19="","",XLOOKUP(A19&amp;"-"&amp;E19,Option_Data_Demo!$A$5:$A$21,Option_Data_Demo!$E$5:$E$21))</x:f>
      </x:c>
      <x:c r="N19" s="100" t="str">
        <x:f>IF(L19="","",XLOOKUP(A19&amp;"-"&amp;E19,Option_Data_Demo!$A$5:$A$21,Option_Data_Demo!$F$5:$F$21))</x:f>
      </x:c>
      <x:c r="O19" s="100" t="str">
        <x:f>IF(L19="","",XLOOKUP(A19&amp;"-"&amp;E19,Option_Data_Demo!$A$5:$A$21,Option_Data_Demo!$G$5:$G$21))</x:f>
      </x:c>
      <x:c r="P19" s="100" t="str">
        <x:f>IF(L19="","",XLOOKUP(A19&amp;"-"&amp;E19,Option_Data_Demo!$A$5:$A$21,Option_Data_Demo!$H$5:$H$21))</x:f>
      </x:c>
      <x:c r="Q19" s="100" t="str">
        <x:f>IF(L19="","",XLOOKUP(A19&amp;"-"&amp;E19,Option_Data_Demo!$A$5:$A$21,Option_Data_Demo!$I$5:$I$21))</x:f>
      </x:c>
      <x:c r="R19" s="82" t="str">
        <x:f>IF(L19="","",M19*K19*100)</x:f>
      </x:c>
      <x:c r="S19" s="82" t="str">
        <x:f>IF(L19="","",N19*K19*100)</x:f>
      </x:c>
      <x:c r="T19" s="82" t="str">
        <x:f>IF(L19="","",O19*K19*100)</x:f>
      </x:c>
      <x:c r="U19" s="82" t="str">
        <x:f>IF(L19="","",P19*K19*100)</x:f>
      </x:c>
      <x:c r="V19" s="82" t="str">
        <x:f>IF(L19="","",L19*K19*100)</x:f>
      </x:c>
      <x:c r="W19" s="20" t="str">
        <x:f>INDEX(Options_Journal!$N$5:$N$14,INT((ROW()-5)/3)+5-4)</x:f>
        <x:v>ENERGY</x:v>
      </x:c>
      <x:c r="X19" s="20" t="str">
        <x:f>INDEX(Options_Journal!$B$5:$B$14,INT((ROW()-5)/3)+5-4)</x:f>
        <x:v>Macro</x:v>
      </x:c>
      <x:c r="Y19" s="61" t="n">
        <x:f>INT((ROW()-5)/3)+5</x:f>
        <x:v>9</x:v>
      </x:c>
      <x:c r="Z19" s="61" t="str">
        <x:f>IF(E19&gt;F19,"",IF(E19=1,IFERROR(LEFT(INDEX(Options_Journal!$G$5:$G$14,INT((ROW()-5)/3)+5-4),FIND("/",INDEX(Options_Journal!$G$5:$G$14,INT((ROW()-5)/3)+5-4))-1),INDEX(Options_Journal!$G$5:$G$14,INT((ROW()-5)/3)+5-4)),IF(E19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20">
      <x:c r="A20" s="20" t="n">
        <x:f>INDEX(Options_Journal!$A$5:$A$14,INT((ROW()-5)/3)+5-4)</x:f>
        <x:v>6</x:v>
      </x:c>
      <x:c r="B20" s="20" t="str">
        <x:f>INDEX(Options_Journal!$E$5:$E$14,INT((ROW()-5)/3)+5-4)</x:f>
        <x:v>QQQ</x:v>
      </x:c>
      <x:c r="C20" s="20" t="str">
        <x:f>INDEX(Options_Journal!$F$5:$F$14,INT((ROW()-5)/3)+5-4)</x:f>
        <x:v>Vcall(cr)</x:v>
      </x:c>
      <x:c r="D20" s="20" t="n">
        <x:f>INDEX(Options_Journal!$O$5:$O$14,INT((ROW()-5)/3)+5-4)</x:f>
        <x:v>51</x:v>
      </x:c>
      <x:c r="E20" s="20" t="n">
        <x:f>MOD(ROW()-5,3)+1</x:f>
        <x:v>1</x:v>
      </x:c>
      <x:c r="F20" s="20" t="n">
        <x:f>IF(ISNUMBER(SEARCH("butterfly",C20)),3,IF(OR(ISNUMBER(SEARCH("vcall",C20)),ISNUMBER(SEARCH("vput",C20)),ISNUMBER(SEARCH("vertical",C20))),2,1))</x:f>
        <x:v>2</x:v>
      </x:c>
      <x:c r="G20" s="20" t="str">
        <x:f>IF(E20&gt;F20,"",IF(ISNUMBER(SEARCH("call",C20)),"CALL",IF(ISNUMBER(SEARCH("put",C20)),"PUT","REVIEW")))</x:f>
        <x:v>CALL</x:v>
      </x:c>
      <x:c r="H20" s="20" t="str">
        <x:f>IF(E20&gt;F20,"",IF(F20=1,IF(INDEX(Options_Journal!$K$5:$K$14,INT((ROW()-5)/3)+5-4)&lt;0,"Long","Short"),IF(F20=3,IF(E20=2,"Short","Long"),IF(ISNUMBER(SEARCH("(cr)",C20)),IF(E20=1,"Short","Long"),IF(ISNUMBER(SEARCH("(dr)",C20)),IF(E20=1,"Long","Short"),"Review")))))</x:f>
        <x:v>Short</x:v>
      </x:c>
      <x:c r="I20" s="20" t="n">
        <x:f>IF(E20&gt;F20,"",IFERROR(VALUE(IF(E20=1,IFERROR(LEFT(INDEX(Options_Journal!$G$5:$G$14,INT((ROW()-5)/3)+5-4),FIND("/",INDEX(Options_Journal!$G$5:$G$14,INT((ROW()-5)/3)+5-4))-1),INDEX(Options_Journal!$G$5:$G$14,INT((ROW()-5)/3)+5-4)),IF(E20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590</x:v>
      </x:c>
      <x:c r="J20" s="20" t="n">
        <x:f>IF(E20&gt;F20,"",INDEX(Options_Journal!$J$5:$J$14,INT((ROW()-5)/3)+5-4)*IF(AND(F20=3,E20=2),2,1))</x:f>
        <x:v>1</x:v>
      </x:c>
      <x:c r="K20" s="20" t="n">
        <x:f>IF(H20="","",J20*IF(H20="Long",1,-1))</x:f>
        <x:v>-1</x:v>
      </x:c>
      <x:c r="L20" s="98" t="n">
        <x:f>IF(E20&gt;F20,"",IFERROR(XLOOKUP(A20&amp;"-"&amp;E20,Option_Data_Demo!$A$5:$A$21,Option_Data_Demo!$D$5:$D$21),""))</x:f>
        <x:v>4.5</x:v>
      </x:c>
      <x:c r="M20" s="100" t="n">
        <x:f>IF(L20="","",XLOOKUP(A20&amp;"-"&amp;E20,Option_Data_Demo!$A$5:$A$21,Option_Data_Demo!$E$5:$E$21))</x:f>
        <x:v>0.32</x:v>
      </x:c>
      <x:c r="N20" s="100" t="n">
        <x:f>IF(L20="","",XLOOKUP(A20&amp;"-"&amp;E20,Option_Data_Demo!$A$5:$A$21,Option_Data_Demo!$F$5:$F$21))</x:f>
        <x:v>-0.09</x:v>
      </x:c>
      <x:c r="O20" s="100" t="n">
        <x:f>IF(L20="","",XLOOKUP(A20&amp;"-"&amp;E20,Option_Data_Demo!$A$5:$A$21,Option_Data_Demo!$G$5:$G$21))</x:f>
        <x:v>0.18</x:v>
      </x:c>
      <x:c r="P20" s="100" t="n">
        <x:f>IF(L20="","",XLOOKUP(A20&amp;"-"&amp;E20,Option_Data_Demo!$A$5:$A$21,Option_Data_Demo!$H$5:$H$21))</x:f>
        <x:v>0.009</x:v>
      </x:c>
      <x:c r="Q20" s="100" t="n">
        <x:f>IF(L20="","",XLOOKUP(A20&amp;"-"&amp;E20,Option_Data_Demo!$A$5:$A$21,Option_Data_Demo!$I$5:$I$21))</x:f>
        <x:v>0.25</x:v>
      </x:c>
      <x:c r="R20" s="82" t="n">
        <x:f>IF(L20="","",M20*K20*100)</x:f>
        <x:v>-32</x:v>
      </x:c>
      <x:c r="S20" s="82" t="n">
        <x:f>IF(L20="","",N20*K20*100)</x:f>
        <x:v>9</x:v>
      </x:c>
      <x:c r="T20" s="82" t="n">
        <x:f>IF(L20="","",O20*K20*100)</x:f>
        <x:v>-18</x:v>
      </x:c>
      <x:c r="U20" s="82" t="n">
        <x:f>IF(L20="","",P20*K20*100)</x:f>
        <x:v>-0.8999999999999999</x:v>
      </x:c>
      <x:c r="V20" s="82" t="n">
        <x:f>IF(L20="","",L20*K20*100)</x:f>
        <x:v>-450</x:v>
      </x:c>
      <x:c r="W20" s="20" t="str">
        <x:f>INDEX(Options_Journal!$N$5:$N$14,INT((ROW()-5)/3)+5-4)</x:f>
        <x:v>INDEX</x:v>
      </x:c>
      <x:c r="X20" s="20" t="str">
        <x:f>INDEX(Options_Journal!$B$5:$B$14,INT((ROW()-5)/3)+5-4)</x:f>
        <x:v>Income</x:v>
      </x:c>
      <x:c r="Y20" s="61" t="n">
        <x:f>INT((ROW()-5)/3)+5</x:f>
        <x:v>10</x:v>
      </x:c>
      <x:c r="Z20" s="61" t="n">
        <x:f>IF(E20&gt;F20,"",IF(E20=1,IFERROR(LEFT(INDEX(Options_Journal!$G$5:$G$14,INT((ROW()-5)/3)+5-4),FIND("/",INDEX(Options_Journal!$G$5:$G$14,INT((ROW()-5)/3)+5-4))-1),INDEX(Options_Journal!$G$5:$G$14,INT((ROW()-5)/3)+5-4)),IF(E20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590</x:v>
      </x:c>
    </x:row>
    <x:row r="21">
      <x:c r="A21" s="20" t="n">
        <x:f>INDEX(Options_Journal!$A$5:$A$14,INT((ROW()-5)/3)+5-4)</x:f>
        <x:v>6</x:v>
      </x:c>
      <x:c r="B21" s="20" t="str">
        <x:f>INDEX(Options_Journal!$E$5:$E$14,INT((ROW()-5)/3)+5-4)</x:f>
        <x:v>QQQ</x:v>
      </x:c>
      <x:c r="C21" s="20" t="str">
        <x:f>INDEX(Options_Journal!$F$5:$F$14,INT((ROW()-5)/3)+5-4)</x:f>
        <x:v>Vcall(cr)</x:v>
      </x:c>
      <x:c r="D21" s="20" t="n">
        <x:f>INDEX(Options_Journal!$O$5:$O$14,INT((ROW()-5)/3)+5-4)</x:f>
        <x:v>51</x:v>
      </x:c>
      <x:c r="E21" s="20" t="n">
        <x:f>MOD(ROW()-5,3)+1</x:f>
        <x:v>2</x:v>
      </x:c>
      <x:c r="F21" s="20" t="n">
        <x:f>IF(ISNUMBER(SEARCH("butterfly",C21)),3,IF(OR(ISNUMBER(SEARCH("vcall",C21)),ISNUMBER(SEARCH("vput",C21)),ISNUMBER(SEARCH("vertical",C21))),2,1))</x:f>
        <x:v>2</x:v>
      </x:c>
      <x:c r="G21" s="20" t="str">
        <x:f>IF(E21&gt;F21,"",IF(ISNUMBER(SEARCH("call",C21)),"CALL",IF(ISNUMBER(SEARCH("put",C21)),"PUT","REVIEW")))</x:f>
        <x:v>CALL</x:v>
      </x:c>
      <x:c r="H21" s="20" t="str">
        <x:f>IF(E21&gt;F21,"",IF(F21=1,IF(INDEX(Options_Journal!$K$5:$K$14,INT((ROW()-5)/3)+5-4)&lt;0,"Long","Short"),IF(F21=3,IF(E21=2,"Short","Long"),IF(ISNUMBER(SEARCH("(cr)",C21)),IF(E21=1,"Short","Long"),IF(ISNUMBER(SEARCH("(dr)",C21)),IF(E21=1,"Long","Short"),"Review")))))</x:f>
        <x:v>Long</x:v>
      </x:c>
      <x:c r="I21" s="20" t="n">
        <x:f>IF(E21&gt;F21,"",IFERROR(VALUE(IF(E21=1,IFERROR(LEFT(INDEX(Options_Journal!$G$5:$G$14,INT((ROW()-5)/3)+5-4),FIND("/",INDEX(Options_Journal!$G$5:$G$14,INT((ROW()-5)/3)+5-4))-1),INDEX(Options_Journal!$G$5:$G$14,INT((ROW()-5)/3)+5-4)),IF(E21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600</x:v>
      </x:c>
      <x:c r="J21" s="20" t="n">
        <x:f>IF(E21&gt;F21,"",INDEX(Options_Journal!$J$5:$J$14,INT((ROW()-5)/3)+5-4)*IF(AND(F21=3,E21=2),2,1))</x:f>
        <x:v>1</x:v>
      </x:c>
      <x:c r="K21" s="20" t="n">
        <x:f>IF(H21="","",J21*IF(H21="Long",1,-1))</x:f>
        <x:v>1</x:v>
      </x:c>
      <x:c r="L21" s="98" t="n">
        <x:f>IF(E21&gt;F21,"",IFERROR(XLOOKUP(A21&amp;"-"&amp;E21,Option_Data_Demo!$A$5:$A$21,Option_Data_Demo!$D$5:$D$21),""))</x:f>
        <x:v>2.4</x:v>
      </x:c>
      <x:c r="M21" s="100" t="n">
        <x:f>IF(L21="","",XLOOKUP(A21&amp;"-"&amp;E21,Option_Data_Demo!$A$5:$A$21,Option_Data_Demo!$E$5:$E$21))</x:f>
        <x:v>0.2</x:v>
      </x:c>
      <x:c r="N21" s="100" t="n">
        <x:f>IF(L21="","",XLOOKUP(A21&amp;"-"&amp;E21,Option_Data_Demo!$A$5:$A$21,Option_Data_Demo!$F$5:$F$21))</x:f>
        <x:v>-0.065</x:v>
      </x:c>
      <x:c r="O21" s="100" t="n">
        <x:f>IF(L21="","",XLOOKUP(A21&amp;"-"&amp;E21,Option_Data_Demo!$A$5:$A$21,Option_Data_Demo!$G$5:$G$21))</x:f>
        <x:v>0.14</x:v>
      </x:c>
      <x:c r="P21" s="100" t="n">
        <x:f>IF(L21="","",XLOOKUP(A21&amp;"-"&amp;E21,Option_Data_Demo!$A$5:$A$21,Option_Data_Demo!$H$5:$H$21))</x:f>
        <x:v>0.007</x:v>
      </x:c>
      <x:c r="Q21" s="100" t="n">
        <x:f>IF(L21="","",XLOOKUP(A21&amp;"-"&amp;E21,Option_Data_Demo!$A$5:$A$21,Option_Data_Demo!$I$5:$I$21))</x:f>
        <x:v>0.26</x:v>
      </x:c>
      <x:c r="R21" s="82" t="n">
        <x:f>IF(L21="","",M21*K21*100)</x:f>
        <x:v>20</x:v>
      </x:c>
      <x:c r="S21" s="82" t="n">
        <x:f>IF(L21="","",N21*K21*100)</x:f>
        <x:v>-6.5</x:v>
      </x:c>
      <x:c r="T21" s="82" t="n">
        <x:f>IF(L21="","",O21*K21*100)</x:f>
        <x:v>14.000000000000002</x:v>
      </x:c>
      <x:c r="U21" s="82" t="n">
        <x:f>IF(L21="","",P21*K21*100)</x:f>
        <x:v>0.7000000000000001</x:v>
      </x:c>
      <x:c r="V21" s="82" t="n">
        <x:f>IF(L21="","",L21*K21*100)</x:f>
        <x:v>240</x:v>
      </x:c>
      <x:c r="W21" s="20" t="str">
        <x:f>INDEX(Options_Journal!$N$5:$N$14,INT((ROW()-5)/3)+5-4)</x:f>
        <x:v>INDEX</x:v>
      </x:c>
      <x:c r="X21" s="20" t="str">
        <x:f>INDEX(Options_Journal!$B$5:$B$14,INT((ROW()-5)/3)+5-4)</x:f>
        <x:v>Income</x:v>
      </x:c>
      <x:c r="Y21" s="61" t="n">
        <x:f>INT((ROW()-5)/3)+5</x:f>
        <x:v>10</x:v>
      </x:c>
      <x:c r="Z21" s="61" t="n">
        <x:f>IF(E21&gt;F21,"",IF(E21=1,IFERROR(LEFT(INDEX(Options_Journal!$G$5:$G$14,INT((ROW()-5)/3)+5-4),FIND("/",INDEX(Options_Journal!$G$5:$G$14,INT((ROW()-5)/3)+5-4))-1),INDEX(Options_Journal!$G$5:$G$14,INT((ROW()-5)/3)+5-4)),IF(E21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600</x:v>
      </x:c>
    </x:row>
    <x:row r="22">
      <x:c r="A22" s="20" t="n">
        <x:f>INDEX(Options_Journal!$A$5:$A$14,INT((ROW()-5)/3)+5-4)</x:f>
        <x:v>6</x:v>
      </x:c>
      <x:c r="B22" s="20" t="str">
        <x:f>INDEX(Options_Journal!$E$5:$E$14,INT((ROW()-5)/3)+5-4)</x:f>
        <x:v>QQQ</x:v>
      </x:c>
      <x:c r="C22" s="20" t="str">
        <x:f>INDEX(Options_Journal!$F$5:$F$14,INT((ROW()-5)/3)+5-4)</x:f>
        <x:v>Vcall(cr)</x:v>
      </x:c>
      <x:c r="D22" s="20" t="n">
        <x:f>INDEX(Options_Journal!$O$5:$O$14,INT((ROW()-5)/3)+5-4)</x:f>
        <x:v>51</x:v>
      </x:c>
      <x:c r="E22" s="20" t="n">
        <x:f>MOD(ROW()-5,3)+1</x:f>
        <x:v>3</x:v>
      </x:c>
      <x:c r="F22" s="20" t="n">
        <x:f>IF(ISNUMBER(SEARCH("butterfly",C22)),3,IF(OR(ISNUMBER(SEARCH("vcall",C22)),ISNUMBER(SEARCH("vput",C22)),ISNUMBER(SEARCH("vertical",C22))),2,1))</x:f>
        <x:v>2</x:v>
      </x:c>
      <x:c r="G22" s="20" t="str">
        <x:f>IF(E22&gt;F22,"",IF(ISNUMBER(SEARCH("call",C22)),"CALL",IF(ISNUMBER(SEARCH("put",C22)),"PUT","REVIEW")))</x:f>
      </x:c>
      <x:c r="H22" s="20" t="str">
        <x:f>IF(E22&gt;F22,"",IF(F22=1,IF(INDEX(Options_Journal!$K$5:$K$14,INT((ROW()-5)/3)+5-4)&lt;0,"Long","Short"),IF(F22=3,IF(E22=2,"Short","Long"),IF(ISNUMBER(SEARCH("(cr)",C22)),IF(E22=1,"Short","Long"),IF(ISNUMBER(SEARCH("(dr)",C22)),IF(E22=1,"Long","Short"),"Review")))))</x:f>
      </x:c>
      <x:c r="I22" s="20" t="str">
        <x:f>IF(E22&gt;F22,"",IFERROR(VALUE(IF(E22=1,IFERROR(LEFT(INDEX(Options_Journal!$G$5:$G$14,INT((ROW()-5)/3)+5-4),FIND("/",INDEX(Options_Journal!$G$5:$G$14,INT((ROW()-5)/3)+5-4))-1),INDEX(Options_Journal!$G$5:$G$14,INT((ROW()-5)/3)+5-4)),IF(E22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22" s="20" t="str">
        <x:f>IF(E22&gt;F22,"",INDEX(Options_Journal!$J$5:$J$14,INT((ROW()-5)/3)+5-4)*IF(AND(F22=3,E22=2),2,1))</x:f>
      </x:c>
      <x:c r="K22" s="20" t="str">
        <x:f>IF(H22="","",J22*IF(H22="Long",1,-1))</x:f>
      </x:c>
      <x:c r="L22" s="98" t="str">
        <x:f>IF(E22&gt;F22,"",IFERROR(XLOOKUP(A22&amp;"-"&amp;E22,Option_Data_Demo!$A$5:$A$21,Option_Data_Demo!$D$5:$D$21),""))</x:f>
      </x:c>
      <x:c r="M22" s="100" t="str">
        <x:f>IF(L22="","",XLOOKUP(A22&amp;"-"&amp;E22,Option_Data_Demo!$A$5:$A$21,Option_Data_Demo!$E$5:$E$21))</x:f>
      </x:c>
      <x:c r="N22" s="100" t="str">
        <x:f>IF(L22="","",XLOOKUP(A22&amp;"-"&amp;E22,Option_Data_Demo!$A$5:$A$21,Option_Data_Demo!$F$5:$F$21))</x:f>
      </x:c>
      <x:c r="O22" s="100" t="str">
        <x:f>IF(L22="","",XLOOKUP(A22&amp;"-"&amp;E22,Option_Data_Demo!$A$5:$A$21,Option_Data_Demo!$G$5:$G$21))</x:f>
      </x:c>
      <x:c r="P22" s="100" t="str">
        <x:f>IF(L22="","",XLOOKUP(A22&amp;"-"&amp;E22,Option_Data_Demo!$A$5:$A$21,Option_Data_Demo!$H$5:$H$21))</x:f>
      </x:c>
      <x:c r="Q22" s="100" t="str">
        <x:f>IF(L22="","",XLOOKUP(A22&amp;"-"&amp;E22,Option_Data_Demo!$A$5:$A$21,Option_Data_Demo!$I$5:$I$21))</x:f>
      </x:c>
      <x:c r="R22" s="82" t="str">
        <x:f>IF(L22="","",M22*K22*100)</x:f>
      </x:c>
      <x:c r="S22" s="82" t="str">
        <x:f>IF(L22="","",N22*K22*100)</x:f>
      </x:c>
      <x:c r="T22" s="82" t="str">
        <x:f>IF(L22="","",O22*K22*100)</x:f>
      </x:c>
      <x:c r="U22" s="82" t="str">
        <x:f>IF(L22="","",P22*K22*100)</x:f>
      </x:c>
      <x:c r="V22" s="82" t="str">
        <x:f>IF(L22="","",L22*K22*100)</x:f>
      </x:c>
      <x:c r="W22" s="20" t="str">
        <x:f>INDEX(Options_Journal!$N$5:$N$14,INT((ROW()-5)/3)+5-4)</x:f>
        <x:v>INDEX</x:v>
      </x:c>
      <x:c r="X22" s="20" t="str">
        <x:f>INDEX(Options_Journal!$B$5:$B$14,INT((ROW()-5)/3)+5-4)</x:f>
        <x:v>Income</x:v>
      </x:c>
      <x:c r="Y22" s="61" t="n">
        <x:f>INT((ROW()-5)/3)+5</x:f>
        <x:v>10</x:v>
      </x:c>
      <x:c r="Z22" s="61" t="str">
        <x:f>IF(E22&gt;F22,"",IF(E22=1,IFERROR(LEFT(INDEX(Options_Journal!$G$5:$G$14,INT((ROW()-5)/3)+5-4),FIND("/",INDEX(Options_Journal!$G$5:$G$14,INT((ROW()-5)/3)+5-4))-1),INDEX(Options_Journal!$G$5:$G$14,INT((ROW()-5)/3)+5-4)),IF(E22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23">
      <x:c r="A23" s="20" t="n">
        <x:f>INDEX(Options_Journal!$A$5:$A$14,INT((ROW()-5)/3)+5-4)</x:f>
        <x:v>7</x:v>
      </x:c>
      <x:c r="B23" s="20" t="str">
        <x:f>INDEX(Options_Journal!$E$5:$E$14,INT((ROW()-5)/3)+5-4)</x:f>
        <x:v>SPY</x:v>
      </x:c>
      <x:c r="C23" s="20" t="str">
        <x:f>INDEX(Options_Journal!$F$5:$F$14,INT((ROW()-5)/3)+5-4)</x:f>
        <x:v>Put</x:v>
      </x:c>
      <x:c r="D23" s="20" t="n">
        <x:f>INDEX(Options_Journal!$O$5:$O$14,INT((ROW()-5)/3)+5-4)</x:f>
        <x:v>72</x:v>
      </x:c>
      <x:c r="E23" s="20" t="n">
        <x:f>MOD(ROW()-5,3)+1</x:f>
        <x:v>1</x:v>
      </x:c>
      <x:c r="F23" s="20" t="n">
        <x:f>IF(ISNUMBER(SEARCH("butterfly",C23)),3,IF(OR(ISNUMBER(SEARCH("vcall",C23)),ISNUMBER(SEARCH("vput",C23)),ISNUMBER(SEARCH("vertical",C23))),2,1))</x:f>
        <x:v>1</x:v>
      </x:c>
      <x:c r="G23" s="20" t="str">
        <x:f>IF(E23&gt;F23,"",IF(ISNUMBER(SEARCH("call",C23)),"CALL",IF(ISNUMBER(SEARCH("put",C23)),"PUT","REVIEW")))</x:f>
        <x:v>PUT</x:v>
      </x:c>
      <x:c r="H23" s="20" t="str">
        <x:f>IF(E23&gt;F23,"",IF(F23=1,IF(INDEX(Options_Journal!$K$5:$K$14,INT((ROW()-5)/3)+5-4)&lt;0,"Long","Short"),IF(F23=3,IF(E23=2,"Short","Long"),IF(ISNUMBER(SEARCH("(cr)",C23)),IF(E23=1,"Short","Long"),IF(ISNUMBER(SEARCH("(dr)",C23)),IF(E23=1,"Long","Short"),"Review")))))</x:f>
        <x:v>Long</x:v>
      </x:c>
      <x:c r="I23" s="20" t="n">
        <x:f>IF(E23&gt;F23,"",IFERROR(VALUE(IF(E23=1,IFERROR(LEFT(INDEX(Options_Journal!$G$5:$G$14,INT((ROW()-5)/3)+5-4),FIND("/",INDEX(Options_Journal!$G$5:$G$14,INT((ROW()-5)/3)+5-4))-1),INDEX(Options_Journal!$G$5:$G$14,INT((ROW()-5)/3)+5-4)),IF(E23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520</x:v>
      </x:c>
      <x:c r="J23" s="20" t="n">
        <x:f>IF(E23&gt;F23,"",INDEX(Options_Journal!$J$5:$J$14,INT((ROW()-5)/3)+5-4)*IF(AND(F23=3,E23=2),2,1))</x:f>
        <x:v>2</x:v>
      </x:c>
      <x:c r="K23" s="20" t="n">
        <x:f>IF(H23="","",J23*IF(H23="Long",1,-1))</x:f>
        <x:v>2</x:v>
      </x:c>
      <x:c r="L23" s="98" t="n">
        <x:f>IF(E23&gt;F23,"",IFERROR(XLOOKUP(A23&amp;"-"&amp;E23,Option_Data_Demo!$A$5:$A$21,Option_Data_Demo!$D$5:$D$21),""))</x:f>
        <x:v>2.5</x:v>
      </x:c>
      <x:c r="M23" s="100" t="n">
        <x:f>IF(L23="","",XLOOKUP(A23&amp;"-"&amp;E23,Option_Data_Demo!$A$5:$A$21,Option_Data_Demo!$E$5:$E$21))</x:f>
        <x:v>-0.18</x:v>
      </x:c>
      <x:c r="N23" s="100" t="n">
        <x:f>IF(L23="","",XLOOKUP(A23&amp;"-"&amp;E23,Option_Data_Demo!$A$5:$A$21,Option_Data_Demo!$F$5:$F$21))</x:f>
        <x:v>-0.06</x:v>
      </x:c>
      <x:c r="O23" s="100" t="n">
        <x:f>IF(L23="","",XLOOKUP(A23&amp;"-"&amp;E23,Option_Data_Demo!$A$5:$A$21,Option_Data_Demo!$G$5:$G$21))</x:f>
        <x:v>0.19</x:v>
      </x:c>
      <x:c r="P23" s="100" t="n">
        <x:f>IF(L23="","",XLOOKUP(A23&amp;"-"&amp;E23,Option_Data_Demo!$A$5:$A$21,Option_Data_Demo!$H$5:$H$21))</x:f>
        <x:v>0.009</x:v>
      </x:c>
      <x:c r="Q23" s="100" t="n">
        <x:f>IF(L23="","",XLOOKUP(A23&amp;"-"&amp;E23,Option_Data_Demo!$A$5:$A$21,Option_Data_Demo!$I$5:$I$21))</x:f>
        <x:v>0.24</x:v>
      </x:c>
      <x:c r="R23" s="82" t="n">
        <x:f>IF(L23="","",M23*K23*100)</x:f>
        <x:v>-36</x:v>
      </x:c>
      <x:c r="S23" s="82" t="n">
        <x:f>IF(L23="","",N23*K23*100)</x:f>
        <x:v>-12</x:v>
      </x:c>
      <x:c r="T23" s="82" t="n">
        <x:f>IF(L23="","",O23*K23*100)</x:f>
        <x:v>38</x:v>
      </x:c>
      <x:c r="U23" s="82" t="n">
        <x:f>IF(L23="","",P23*K23*100)</x:f>
        <x:v>1.7999999999999998</x:v>
      </x:c>
      <x:c r="V23" s="82" t="n">
        <x:f>IF(L23="","",L23*K23*100)</x:f>
        <x:v>500</x:v>
      </x:c>
      <x:c r="W23" s="20" t="str">
        <x:f>INDEX(Options_Journal!$N$5:$N$14,INT((ROW()-5)/3)+5-4)</x:f>
        <x:v>HEDGE</x:v>
      </x:c>
      <x:c r="X23" s="20" t="str">
        <x:f>INDEX(Options_Journal!$B$5:$B$14,INT((ROW()-5)/3)+5-4)</x:f>
        <x:v>Hedge</x:v>
      </x:c>
      <x:c r="Y23" s="61" t="n">
        <x:f>INT((ROW()-5)/3)+5</x:f>
        <x:v>11</x:v>
      </x:c>
      <x:c r="Z23" s="61" t="n">
        <x:f>IF(E23&gt;F23,"",IF(E23=1,IFERROR(LEFT(INDEX(Options_Journal!$G$5:$G$14,INT((ROW()-5)/3)+5-4),FIND("/",INDEX(Options_Journal!$G$5:$G$14,INT((ROW()-5)/3)+5-4))-1),INDEX(Options_Journal!$G$5:$G$14,INT((ROW()-5)/3)+5-4)),IF(E23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520</x:v>
      </x:c>
    </x:row>
    <x:row r="24">
      <x:c r="A24" s="20" t="n">
        <x:f>INDEX(Options_Journal!$A$5:$A$14,INT((ROW()-5)/3)+5-4)</x:f>
        <x:v>7</x:v>
      </x:c>
      <x:c r="B24" s="20" t="str">
        <x:f>INDEX(Options_Journal!$E$5:$E$14,INT((ROW()-5)/3)+5-4)</x:f>
        <x:v>SPY</x:v>
      </x:c>
      <x:c r="C24" s="20" t="str">
        <x:f>INDEX(Options_Journal!$F$5:$F$14,INT((ROW()-5)/3)+5-4)</x:f>
        <x:v>Put</x:v>
      </x:c>
      <x:c r="D24" s="20" t="n">
        <x:f>INDEX(Options_Journal!$O$5:$O$14,INT((ROW()-5)/3)+5-4)</x:f>
        <x:v>72</x:v>
      </x:c>
      <x:c r="E24" s="20" t="n">
        <x:f>MOD(ROW()-5,3)+1</x:f>
        <x:v>2</x:v>
      </x:c>
      <x:c r="F24" s="20" t="n">
        <x:f>IF(ISNUMBER(SEARCH("butterfly",C24)),3,IF(OR(ISNUMBER(SEARCH("vcall",C24)),ISNUMBER(SEARCH("vput",C24)),ISNUMBER(SEARCH("vertical",C24))),2,1))</x:f>
        <x:v>1</x:v>
      </x:c>
      <x:c r="G24" s="20" t="str">
        <x:f>IF(E24&gt;F24,"",IF(ISNUMBER(SEARCH("call",C24)),"CALL",IF(ISNUMBER(SEARCH("put",C24)),"PUT","REVIEW")))</x:f>
      </x:c>
      <x:c r="H24" s="20" t="str">
        <x:f>IF(E24&gt;F24,"",IF(F24=1,IF(INDEX(Options_Journal!$K$5:$K$14,INT((ROW()-5)/3)+5-4)&lt;0,"Long","Short"),IF(F24=3,IF(E24=2,"Short","Long"),IF(ISNUMBER(SEARCH("(cr)",C24)),IF(E24=1,"Short","Long"),IF(ISNUMBER(SEARCH("(dr)",C24)),IF(E24=1,"Long","Short"),"Review")))))</x:f>
      </x:c>
      <x:c r="I24" s="20" t="str">
        <x:f>IF(E24&gt;F24,"",IFERROR(VALUE(IF(E24=1,IFERROR(LEFT(INDEX(Options_Journal!$G$5:$G$14,INT((ROW()-5)/3)+5-4),FIND("/",INDEX(Options_Journal!$G$5:$G$14,INT((ROW()-5)/3)+5-4))-1),INDEX(Options_Journal!$G$5:$G$14,INT((ROW()-5)/3)+5-4)),IF(E24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24" s="20" t="str">
        <x:f>IF(E24&gt;F24,"",INDEX(Options_Journal!$J$5:$J$14,INT((ROW()-5)/3)+5-4)*IF(AND(F24=3,E24=2),2,1))</x:f>
      </x:c>
      <x:c r="K24" s="20" t="str">
        <x:f>IF(H24="","",J24*IF(H24="Long",1,-1))</x:f>
      </x:c>
      <x:c r="L24" s="98" t="str">
        <x:f>IF(E24&gt;F24,"",IFERROR(XLOOKUP(A24&amp;"-"&amp;E24,Option_Data_Demo!$A$5:$A$21,Option_Data_Demo!$D$5:$D$21),""))</x:f>
      </x:c>
      <x:c r="M24" s="100" t="str">
        <x:f>IF(L24="","",XLOOKUP(A24&amp;"-"&amp;E24,Option_Data_Demo!$A$5:$A$21,Option_Data_Demo!$E$5:$E$21))</x:f>
      </x:c>
      <x:c r="N24" s="100" t="str">
        <x:f>IF(L24="","",XLOOKUP(A24&amp;"-"&amp;E24,Option_Data_Demo!$A$5:$A$21,Option_Data_Demo!$F$5:$F$21))</x:f>
      </x:c>
      <x:c r="O24" s="100" t="str">
        <x:f>IF(L24="","",XLOOKUP(A24&amp;"-"&amp;E24,Option_Data_Demo!$A$5:$A$21,Option_Data_Demo!$G$5:$G$21))</x:f>
      </x:c>
      <x:c r="P24" s="100" t="str">
        <x:f>IF(L24="","",XLOOKUP(A24&amp;"-"&amp;E24,Option_Data_Demo!$A$5:$A$21,Option_Data_Demo!$H$5:$H$21))</x:f>
      </x:c>
      <x:c r="Q24" s="100" t="str">
        <x:f>IF(L24="","",XLOOKUP(A24&amp;"-"&amp;E24,Option_Data_Demo!$A$5:$A$21,Option_Data_Demo!$I$5:$I$21))</x:f>
      </x:c>
      <x:c r="R24" s="82" t="str">
        <x:f>IF(L24="","",M24*K24*100)</x:f>
      </x:c>
      <x:c r="S24" s="82" t="str">
        <x:f>IF(L24="","",N24*K24*100)</x:f>
      </x:c>
      <x:c r="T24" s="82" t="str">
        <x:f>IF(L24="","",O24*K24*100)</x:f>
      </x:c>
      <x:c r="U24" s="82" t="str">
        <x:f>IF(L24="","",P24*K24*100)</x:f>
      </x:c>
      <x:c r="V24" s="82" t="str">
        <x:f>IF(L24="","",L24*K24*100)</x:f>
      </x:c>
      <x:c r="W24" s="20" t="str">
        <x:f>INDEX(Options_Journal!$N$5:$N$14,INT((ROW()-5)/3)+5-4)</x:f>
        <x:v>HEDGE</x:v>
      </x:c>
      <x:c r="X24" s="20" t="str">
        <x:f>INDEX(Options_Journal!$B$5:$B$14,INT((ROW()-5)/3)+5-4)</x:f>
        <x:v>Hedge</x:v>
      </x:c>
      <x:c r="Y24" s="61" t="n">
        <x:f>INT((ROW()-5)/3)+5</x:f>
        <x:v>11</x:v>
      </x:c>
      <x:c r="Z24" s="61" t="str">
        <x:f>IF(E24&gt;F24,"",IF(E24=1,IFERROR(LEFT(INDEX(Options_Journal!$G$5:$G$14,INT((ROW()-5)/3)+5-4),FIND("/",INDEX(Options_Journal!$G$5:$G$14,INT((ROW()-5)/3)+5-4))-1),INDEX(Options_Journal!$G$5:$G$14,INT((ROW()-5)/3)+5-4)),IF(E24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25">
      <x:c r="A25" s="20" t="n">
        <x:f>INDEX(Options_Journal!$A$5:$A$14,INT((ROW()-5)/3)+5-4)</x:f>
        <x:v>7</x:v>
      </x:c>
      <x:c r="B25" s="20" t="str">
        <x:f>INDEX(Options_Journal!$E$5:$E$14,INT((ROW()-5)/3)+5-4)</x:f>
        <x:v>SPY</x:v>
      </x:c>
      <x:c r="C25" s="20" t="str">
        <x:f>INDEX(Options_Journal!$F$5:$F$14,INT((ROW()-5)/3)+5-4)</x:f>
        <x:v>Put</x:v>
      </x:c>
      <x:c r="D25" s="20" t="n">
        <x:f>INDEX(Options_Journal!$O$5:$O$14,INT((ROW()-5)/3)+5-4)</x:f>
        <x:v>72</x:v>
      </x:c>
      <x:c r="E25" s="20" t="n">
        <x:f>MOD(ROW()-5,3)+1</x:f>
        <x:v>3</x:v>
      </x:c>
      <x:c r="F25" s="20" t="n">
        <x:f>IF(ISNUMBER(SEARCH("butterfly",C25)),3,IF(OR(ISNUMBER(SEARCH("vcall",C25)),ISNUMBER(SEARCH("vput",C25)),ISNUMBER(SEARCH("vertical",C25))),2,1))</x:f>
        <x:v>1</x:v>
      </x:c>
      <x:c r="G25" s="20" t="str">
        <x:f>IF(E25&gt;F25,"",IF(ISNUMBER(SEARCH("call",C25)),"CALL",IF(ISNUMBER(SEARCH("put",C25)),"PUT","REVIEW")))</x:f>
      </x:c>
      <x:c r="H25" s="20" t="str">
        <x:f>IF(E25&gt;F25,"",IF(F25=1,IF(INDEX(Options_Journal!$K$5:$K$14,INT((ROW()-5)/3)+5-4)&lt;0,"Long","Short"),IF(F25=3,IF(E25=2,"Short","Long"),IF(ISNUMBER(SEARCH("(cr)",C25)),IF(E25=1,"Short","Long"),IF(ISNUMBER(SEARCH("(dr)",C25)),IF(E25=1,"Long","Short"),"Review")))))</x:f>
      </x:c>
      <x:c r="I25" s="20" t="str">
        <x:f>IF(E25&gt;F25,"",IFERROR(VALUE(IF(E25=1,IFERROR(LEFT(INDEX(Options_Journal!$G$5:$G$14,INT((ROW()-5)/3)+5-4),FIND("/",INDEX(Options_Journal!$G$5:$G$14,INT((ROW()-5)/3)+5-4))-1),INDEX(Options_Journal!$G$5:$G$14,INT((ROW()-5)/3)+5-4)),IF(E25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25" s="20" t="str">
        <x:f>IF(E25&gt;F25,"",INDEX(Options_Journal!$J$5:$J$14,INT((ROW()-5)/3)+5-4)*IF(AND(F25=3,E25=2),2,1))</x:f>
      </x:c>
      <x:c r="K25" s="20" t="str">
        <x:f>IF(H25="","",J25*IF(H25="Long",1,-1))</x:f>
      </x:c>
      <x:c r="L25" s="98" t="str">
        <x:f>IF(E25&gt;F25,"",IFERROR(XLOOKUP(A25&amp;"-"&amp;E25,Option_Data_Demo!$A$5:$A$21,Option_Data_Demo!$D$5:$D$21),""))</x:f>
      </x:c>
      <x:c r="M25" s="100" t="str">
        <x:f>IF(L25="","",XLOOKUP(A25&amp;"-"&amp;E25,Option_Data_Demo!$A$5:$A$21,Option_Data_Demo!$E$5:$E$21))</x:f>
      </x:c>
      <x:c r="N25" s="100" t="str">
        <x:f>IF(L25="","",XLOOKUP(A25&amp;"-"&amp;E25,Option_Data_Demo!$A$5:$A$21,Option_Data_Demo!$F$5:$F$21))</x:f>
      </x:c>
      <x:c r="O25" s="100" t="str">
        <x:f>IF(L25="","",XLOOKUP(A25&amp;"-"&amp;E25,Option_Data_Demo!$A$5:$A$21,Option_Data_Demo!$G$5:$G$21))</x:f>
      </x:c>
      <x:c r="P25" s="100" t="str">
        <x:f>IF(L25="","",XLOOKUP(A25&amp;"-"&amp;E25,Option_Data_Demo!$A$5:$A$21,Option_Data_Demo!$H$5:$H$21))</x:f>
      </x:c>
      <x:c r="Q25" s="100" t="str">
        <x:f>IF(L25="","",XLOOKUP(A25&amp;"-"&amp;E25,Option_Data_Demo!$A$5:$A$21,Option_Data_Demo!$I$5:$I$21))</x:f>
      </x:c>
      <x:c r="R25" s="82" t="str">
        <x:f>IF(L25="","",M25*K25*100)</x:f>
      </x:c>
      <x:c r="S25" s="82" t="str">
        <x:f>IF(L25="","",N25*K25*100)</x:f>
      </x:c>
      <x:c r="T25" s="82" t="str">
        <x:f>IF(L25="","",O25*K25*100)</x:f>
      </x:c>
      <x:c r="U25" s="82" t="str">
        <x:f>IF(L25="","",P25*K25*100)</x:f>
      </x:c>
      <x:c r="V25" s="82" t="str">
        <x:f>IF(L25="","",L25*K25*100)</x:f>
      </x:c>
      <x:c r="W25" s="20" t="str">
        <x:f>INDEX(Options_Journal!$N$5:$N$14,INT((ROW()-5)/3)+5-4)</x:f>
        <x:v>HEDGE</x:v>
      </x:c>
      <x:c r="X25" s="20" t="str">
        <x:f>INDEX(Options_Journal!$B$5:$B$14,INT((ROW()-5)/3)+5-4)</x:f>
        <x:v>Hedge</x:v>
      </x:c>
      <x:c r="Y25" s="61" t="n">
        <x:f>INT((ROW()-5)/3)+5</x:f>
        <x:v>11</x:v>
      </x:c>
      <x:c r="Z25" s="61" t="str">
        <x:f>IF(E25&gt;F25,"",IF(E25=1,IFERROR(LEFT(INDEX(Options_Journal!$G$5:$G$14,INT((ROW()-5)/3)+5-4),FIND("/",INDEX(Options_Journal!$G$5:$G$14,INT((ROW()-5)/3)+5-4))-1),INDEX(Options_Journal!$G$5:$G$14,INT((ROW()-5)/3)+5-4)),IF(E25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26">
      <x:c r="A26" s="20" t="n">
        <x:f>INDEX(Options_Journal!$A$5:$A$14,INT((ROW()-5)/3)+5-4)</x:f>
        <x:v>8</x:v>
      </x:c>
      <x:c r="B26" s="20" t="str">
        <x:f>INDEX(Options_Journal!$E$5:$E$14,INT((ROW()-5)/3)+5-4)</x:f>
        <x:v>VST</x:v>
      </x:c>
      <x:c r="C26" s="20" t="str">
        <x:f>INDEX(Options_Journal!$F$5:$F$14,INT((ROW()-5)/3)+5-4)</x:f>
        <x:v>Vcall(dr)</x:v>
      </x:c>
      <x:c r="D26" s="20" t="n">
        <x:f>INDEX(Options_Journal!$O$5:$O$14,INT((ROW()-5)/3)+5-4)</x:f>
        <x:v>163</x:v>
      </x:c>
      <x:c r="E26" s="20" t="n">
        <x:f>MOD(ROW()-5,3)+1</x:f>
        <x:v>1</x:v>
      </x:c>
      <x:c r="F26" s="20" t="n">
        <x:f>IF(ISNUMBER(SEARCH("butterfly",C26)),3,IF(OR(ISNUMBER(SEARCH("vcall",C26)),ISNUMBER(SEARCH("vput",C26)),ISNUMBER(SEARCH("vertical",C26))),2,1))</x:f>
        <x:v>2</x:v>
      </x:c>
      <x:c r="G26" s="20" t="str">
        <x:f>IF(E26&gt;F26,"",IF(ISNUMBER(SEARCH("call",C26)),"CALL",IF(ISNUMBER(SEARCH("put",C26)),"PUT","REVIEW")))</x:f>
        <x:v>CALL</x:v>
      </x:c>
      <x:c r="H26" s="20" t="str">
        <x:f>IF(E26&gt;F26,"",IF(F26=1,IF(INDEX(Options_Journal!$K$5:$K$14,INT((ROW()-5)/3)+5-4)&lt;0,"Long","Short"),IF(F26=3,IF(E26=2,"Short","Long"),IF(ISNUMBER(SEARCH("(cr)",C26)),IF(E26=1,"Short","Long"),IF(ISNUMBER(SEARCH("(dr)",C26)),IF(E26=1,"Long","Short"),"Review")))))</x:f>
        <x:v>Long</x:v>
      </x:c>
      <x:c r="I26" s="20" t="n">
        <x:f>IF(E26&gt;F26,"",IFERROR(VALUE(IF(E26=1,IFERROR(LEFT(INDEX(Options_Journal!$G$5:$G$14,INT((ROW()-5)/3)+5-4),FIND("/",INDEX(Options_Journal!$G$5:$G$14,INT((ROW()-5)/3)+5-4))-1),INDEX(Options_Journal!$G$5:$G$14,INT((ROW()-5)/3)+5-4)),IF(E26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210</x:v>
      </x:c>
      <x:c r="J26" s="20" t="n">
        <x:f>IF(E26&gt;F26,"",INDEX(Options_Journal!$J$5:$J$14,INT((ROW()-5)/3)+5-4)*IF(AND(F26=3,E26=2),2,1))</x:f>
        <x:v>1</x:v>
      </x:c>
      <x:c r="K26" s="20" t="n">
        <x:f>IF(H26="","",J26*IF(H26="Long",1,-1))</x:f>
        <x:v>1</x:v>
      </x:c>
      <x:c r="L26" s="98" t="n">
        <x:f>IF(E26&gt;F26,"",IFERROR(XLOOKUP(A26&amp;"-"&amp;E26,Option_Data_Demo!$A$5:$A$21,Option_Data_Demo!$D$5:$D$21),""))</x:f>
        <x:v>12</x:v>
      </x:c>
      <x:c r="M26" s="100" t="n">
        <x:f>IF(L26="","",XLOOKUP(A26&amp;"-"&amp;E26,Option_Data_Demo!$A$5:$A$21,Option_Data_Demo!$E$5:$E$21))</x:f>
        <x:v>0.62</x:v>
      </x:c>
      <x:c r="N26" s="100" t="n">
        <x:f>IF(L26="","",XLOOKUP(A26&amp;"-"&amp;E26,Option_Data_Demo!$A$5:$A$21,Option_Data_Demo!$F$5:$F$21))</x:f>
        <x:v>-0.04</x:v>
      </x:c>
      <x:c r="O26" s="100" t="n">
        <x:f>IF(L26="","",XLOOKUP(A26&amp;"-"&amp;E26,Option_Data_Demo!$A$5:$A$21,Option_Data_Demo!$G$5:$G$21))</x:f>
        <x:v>0.25</x:v>
      </x:c>
      <x:c r="P26" s="100" t="n">
        <x:f>IF(L26="","",XLOOKUP(A26&amp;"-"&amp;E26,Option_Data_Demo!$A$5:$A$21,Option_Data_Demo!$H$5:$H$21))</x:f>
        <x:v>0.013</x:v>
      </x:c>
      <x:c r="Q26" s="100" t="n">
        <x:f>IF(L26="","",XLOOKUP(A26&amp;"-"&amp;E26,Option_Data_Demo!$A$5:$A$21,Option_Data_Demo!$I$5:$I$21))</x:f>
        <x:v>0.42</x:v>
      </x:c>
      <x:c r="R26" s="82" t="n">
        <x:f>IF(L26="","",M26*K26*100)</x:f>
        <x:v>62</x:v>
      </x:c>
      <x:c r="S26" s="82" t="n">
        <x:f>IF(L26="","",N26*K26*100)</x:f>
        <x:v>-4</x:v>
      </x:c>
      <x:c r="T26" s="82" t="n">
        <x:f>IF(L26="","",O26*K26*100)</x:f>
        <x:v>25</x:v>
      </x:c>
      <x:c r="U26" s="82" t="n">
        <x:f>IF(L26="","",P26*K26*100)</x:f>
        <x:v>1.3</x:v>
      </x:c>
      <x:c r="V26" s="82" t="n">
        <x:f>IF(L26="","",L26*K26*100)</x:f>
        <x:v>1200</x:v>
      </x:c>
      <x:c r="W26" s="20" t="str">
        <x:f>INDEX(Options_Journal!$N$5:$N$14,INT((ROW()-5)/3)+5-4)</x:f>
        <x:v>ENERGY</x:v>
      </x:c>
      <x:c r="X26" s="20" t="str">
        <x:f>INDEX(Options_Journal!$B$5:$B$14,INT((ROW()-5)/3)+5-4)</x:f>
        <x:v>Trend</x:v>
      </x:c>
      <x:c r="Y26" s="61" t="n">
        <x:f>INT((ROW()-5)/3)+5</x:f>
        <x:v>12</x:v>
      </x:c>
      <x:c r="Z26" s="61" t="n">
        <x:f>IF(E26&gt;F26,"",IF(E26=1,IFERROR(LEFT(INDEX(Options_Journal!$G$5:$G$14,INT((ROW()-5)/3)+5-4),FIND("/",INDEX(Options_Journal!$G$5:$G$14,INT((ROW()-5)/3)+5-4))-1),INDEX(Options_Journal!$G$5:$G$14,INT((ROW()-5)/3)+5-4)),IF(E26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210</x:v>
      </x:c>
    </x:row>
    <x:row r="27">
      <x:c r="A27" s="20" t="n">
        <x:f>INDEX(Options_Journal!$A$5:$A$14,INT((ROW()-5)/3)+5-4)</x:f>
        <x:v>8</x:v>
      </x:c>
      <x:c r="B27" s="20" t="str">
        <x:f>INDEX(Options_Journal!$E$5:$E$14,INT((ROW()-5)/3)+5-4)</x:f>
        <x:v>VST</x:v>
      </x:c>
      <x:c r="C27" s="20" t="str">
        <x:f>INDEX(Options_Journal!$F$5:$F$14,INT((ROW()-5)/3)+5-4)</x:f>
        <x:v>Vcall(dr)</x:v>
      </x:c>
      <x:c r="D27" s="20" t="n">
        <x:f>INDEX(Options_Journal!$O$5:$O$14,INT((ROW()-5)/3)+5-4)</x:f>
        <x:v>163</x:v>
      </x:c>
      <x:c r="E27" s="20" t="n">
        <x:f>MOD(ROW()-5,3)+1</x:f>
        <x:v>2</x:v>
      </x:c>
      <x:c r="F27" s="20" t="n">
        <x:f>IF(ISNUMBER(SEARCH("butterfly",C27)),3,IF(OR(ISNUMBER(SEARCH("vcall",C27)),ISNUMBER(SEARCH("vput",C27)),ISNUMBER(SEARCH("vertical",C27))),2,1))</x:f>
        <x:v>2</x:v>
      </x:c>
      <x:c r="G27" s="20" t="str">
        <x:f>IF(E27&gt;F27,"",IF(ISNUMBER(SEARCH("call",C27)),"CALL",IF(ISNUMBER(SEARCH("put",C27)),"PUT","REVIEW")))</x:f>
        <x:v>CALL</x:v>
      </x:c>
      <x:c r="H27" s="20" t="str">
        <x:f>IF(E27&gt;F27,"",IF(F27=1,IF(INDEX(Options_Journal!$K$5:$K$14,INT((ROW()-5)/3)+5-4)&lt;0,"Long","Short"),IF(F27=3,IF(E27=2,"Short","Long"),IF(ISNUMBER(SEARCH("(cr)",C27)),IF(E27=1,"Short","Long"),IF(ISNUMBER(SEARCH("(dr)",C27)),IF(E27=1,"Long","Short"),"Review")))))</x:f>
        <x:v>Short</x:v>
      </x:c>
      <x:c r="I27" s="20" t="n">
        <x:f>IF(E27&gt;F27,"",IFERROR(VALUE(IF(E27=1,IFERROR(LEFT(INDEX(Options_Journal!$G$5:$G$14,INT((ROW()-5)/3)+5-4),FIND("/",INDEX(Options_Journal!$G$5:$G$14,INT((ROW()-5)/3)+5-4))-1),INDEX(Options_Journal!$G$5:$G$14,INT((ROW()-5)/3)+5-4)),IF(E27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230</x:v>
      </x:c>
      <x:c r="J27" s="20" t="n">
        <x:f>IF(E27&gt;F27,"",INDEX(Options_Journal!$J$5:$J$14,INT((ROW()-5)/3)+5-4)*IF(AND(F27=3,E27=2),2,1))</x:f>
        <x:v>1</x:v>
      </x:c>
      <x:c r="K27" s="20" t="n">
        <x:f>IF(H27="","",J27*IF(H27="Long",1,-1))</x:f>
        <x:v>-1</x:v>
      </x:c>
      <x:c r="L27" s="98" t="n">
        <x:f>IF(E27&gt;F27,"",IFERROR(XLOOKUP(A27&amp;"-"&amp;E27,Option_Data_Demo!$A$5:$A$21,Option_Data_Demo!$D$5:$D$21),""))</x:f>
        <x:v>5.8</x:v>
      </x:c>
      <x:c r="M27" s="100" t="n">
        <x:f>IF(L27="","",XLOOKUP(A27&amp;"-"&amp;E27,Option_Data_Demo!$A$5:$A$21,Option_Data_Demo!$E$5:$E$21))</x:f>
        <x:v>0.37</x:v>
      </x:c>
      <x:c r="N27" s="100" t="n">
        <x:f>IF(L27="","",XLOOKUP(A27&amp;"-"&amp;E27,Option_Data_Demo!$A$5:$A$21,Option_Data_Demo!$F$5:$F$21))</x:f>
        <x:v>-0.034</x:v>
      </x:c>
      <x:c r="O27" s="100" t="n">
        <x:f>IF(L27="","",XLOOKUP(A27&amp;"-"&amp;E27,Option_Data_Demo!$A$5:$A$21,Option_Data_Demo!$G$5:$G$21))</x:f>
        <x:v>0.22</x:v>
      </x:c>
      <x:c r="P27" s="100" t="n">
        <x:f>IF(L27="","",XLOOKUP(A27&amp;"-"&amp;E27,Option_Data_Demo!$A$5:$A$21,Option_Data_Demo!$H$5:$H$21))</x:f>
        <x:v>0.012</x:v>
      </x:c>
      <x:c r="Q27" s="100" t="n">
        <x:f>IF(L27="","",XLOOKUP(A27&amp;"-"&amp;E27,Option_Data_Demo!$A$5:$A$21,Option_Data_Demo!$I$5:$I$21))</x:f>
        <x:v>0.41</x:v>
      </x:c>
      <x:c r="R27" s="82" t="n">
        <x:f>IF(L27="","",M27*K27*100)</x:f>
        <x:v>-37</x:v>
      </x:c>
      <x:c r="S27" s="82" t="n">
        <x:f>IF(L27="","",N27*K27*100)</x:f>
        <x:v>3.4000000000000004</x:v>
      </x:c>
      <x:c r="T27" s="82" t="n">
        <x:f>IF(L27="","",O27*K27*100)</x:f>
        <x:v>-22</x:v>
      </x:c>
      <x:c r="U27" s="82" t="n">
        <x:f>IF(L27="","",P27*K27*100)</x:f>
        <x:v>-1.2</x:v>
      </x:c>
      <x:c r="V27" s="82" t="n">
        <x:f>IF(L27="","",L27*K27*100)</x:f>
        <x:v>-580</x:v>
      </x:c>
      <x:c r="W27" s="20" t="str">
        <x:f>INDEX(Options_Journal!$N$5:$N$14,INT((ROW()-5)/3)+5-4)</x:f>
        <x:v>ENERGY</x:v>
      </x:c>
      <x:c r="X27" s="20" t="str">
        <x:f>INDEX(Options_Journal!$B$5:$B$14,INT((ROW()-5)/3)+5-4)</x:f>
        <x:v>Trend</x:v>
      </x:c>
      <x:c r="Y27" s="61" t="n">
        <x:f>INT((ROW()-5)/3)+5</x:f>
        <x:v>12</x:v>
      </x:c>
      <x:c r="Z27" s="61" t="n">
        <x:f>IF(E27&gt;F27,"",IF(E27=1,IFERROR(LEFT(INDEX(Options_Journal!$G$5:$G$14,INT((ROW()-5)/3)+5-4),FIND("/",INDEX(Options_Journal!$G$5:$G$14,INT((ROW()-5)/3)+5-4))-1),INDEX(Options_Journal!$G$5:$G$14,INT((ROW()-5)/3)+5-4)),IF(E27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230</x:v>
      </x:c>
    </x:row>
    <x:row r="28">
      <x:c r="A28" s="20" t="n">
        <x:f>INDEX(Options_Journal!$A$5:$A$14,INT((ROW()-5)/3)+5-4)</x:f>
        <x:v>8</x:v>
      </x:c>
      <x:c r="B28" s="20" t="str">
        <x:f>INDEX(Options_Journal!$E$5:$E$14,INT((ROW()-5)/3)+5-4)</x:f>
        <x:v>VST</x:v>
      </x:c>
      <x:c r="C28" s="20" t="str">
        <x:f>INDEX(Options_Journal!$F$5:$F$14,INT((ROW()-5)/3)+5-4)</x:f>
        <x:v>Vcall(dr)</x:v>
      </x:c>
      <x:c r="D28" s="20" t="n">
        <x:f>INDEX(Options_Journal!$O$5:$O$14,INT((ROW()-5)/3)+5-4)</x:f>
        <x:v>163</x:v>
      </x:c>
      <x:c r="E28" s="20" t="n">
        <x:f>MOD(ROW()-5,3)+1</x:f>
        <x:v>3</x:v>
      </x:c>
      <x:c r="F28" s="20" t="n">
        <x:f>IF(ISNUMBER(SEARCH("butterfly",C28)),3,IF(OR(ISNUMBER(SEARCH("vcall",C28)),ISNUMBER(SEARCH("vput",C28)),ISNUMBER(SEARCH("vertical",C28))),2,1))</x:f>
        <x:v>2</x:v>
      </x:c>
      <x:c r="G28" s="20" t="str">
        <x:f>IF(E28&gt;F28,"",IF(ISNUMBER(SEARCH("call",C28)),"CALL",IF(ISNUMBER(SEARCH("put",C28)),"PUT","REVIEW")))</x:f>
      </x:c>
      <x:c r="H28" s="20" t="str">
        <x:f>IF(E28&gt;F28,"",IF(F28=1,IF(INDEX(Options_Journal!$K$5:$K$14,INT((ROW()-5)/3)+5-4)&lt;0,"Long","Short"),IF(F28=3,IF(E28=2,"Short","Long"),IF(ISNUMBER(SEARCH("(cr)",C28)),IF(E28=1,"Short","Long"),IF(ISNUMBER(SEARCH("(dr)",C28)),IF(E28=1,"Long","Short"),"Review")))))</x:f>
      </x:c>
      <x:c r="I28" s="20" t="str">
        <x:f>IF(E28&gt;F28,"",IFERROR(VALUE(IF(E28=1,IFERROR(LEFT(INDEX(Options_Journal!$G$5:$G$14,INT((ROW()-5)/3)+5-4),FIND("/",INDEX(Options_Journal!$G$5:$G$14,INT((ROW()-5)/3)+5-4))-1),INDEX(Options_Journal!$G$5:$G$14,INT((ROW()-5)/3)+5-4)),IF(E28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28" s="20" t="str">
        <x:f>IF(E28&gt;F28,"",INDEX(Options_Journal!$J$5:$J$14,INT((ROW()-5)/3)+5-4)*IF(AND(F28=3,E28=2),2,1))</x:f>
      </x:c>
      <x:c r="K28" s="20" t="str">
        <x:f>IF(H28="","",J28*IF(H28="Long",1,-1))</x:f>
      </x:c>
      <x:c r="L28" s="98" t="str">
        <x:f>IF(E28&gt;F28,"",IFERROR(XLOOKUP(A28&amp;"-"&amp;E28,Option_Data_Demo!$A$5:$A$21,Option_Data_Demo!$D$5:$D$21),""))</x:f>
      </x:c>
      <x:c r="M28" s="100" t="str">
        <x:f>IF(L28="","",XLOOKUP(A28&amp;"-"&amp;E28,Option_Data_Demo!$A$5:$A$21,Option_Data_Demo!$E$5:$E$21))</x:f>
      </x:c>
      <x:c r="N28" s="100" t="str">
        <x:f>IF(L28="","",XLOOKUP(A28&amp;"-"&amp;E28,Option_Data_Demo!$A$5:$A$21,Option_Data_Demo!$F$5:$F$21))</x:f>
      </x:c>
      <x:c r="O28" s="100" t="str">
        <x:f>IF(L28="","",XLOOKUP(A28&amp;"-"&amp;E28,Option_Data_Demo!$A$5:$A$21,Option_Data_Demo!$G$5:$G$21))</x:f>
      </x:c>
      <x:c r="P28" s="100" t="str">
        <x:f>IF(L28="","",XLOOKUP(A28&amp;"-"&amp;E28,Option_Data_Demo!$A$5:$A$21,Option_Data_Demo!$H$5:$H$21))</x:f>
      </x:c>
      <x:c r="Q28" s="100" t="str">
        <x:f>IF(L28="","",XLOOKUP(A28&amp;"-"&amp;E28,Option_Data_Demo!$A$5:$A$21,Option_Data_Demo!$I$5:$I$21))</x:f>
      </x:c>
      <x:c r="R28" s="82" t="str">
        <x:f>IF(L28="","",M28*K28*100)</x:f>
      </x:c>
      <x:c r="S28" s="82" t="str">
        <x:f>IF(L28="","",N28*K28*100)</x:f>
      </x:c>
      <x:c r="T28" s="82" t="str">
        <x:f>IF(L28="","",O28*K28*100)</x:f>
      </x:c>
      <x:c r="U28" s="82" t="str">
        <x:f>IF(L28="","",P28*K28*100)</x:f>
      </x:c>
      <x:c r="V28" s="82" t="str">
        <x:f>IF(L28="","",L28*K28*100)</x:f>
      </x:c>
      <x:c r="W28" s="20" t="str">
        <x:f>INDEX(Options_Journal!$N$5:$N$14,INT((ROW()-5)/3)+5-4)</x:f>
        <x:v>ENERGY</x:v>
      </x:c>
      <x:c r="X28" s="20" t="str">
        <x:f>INDEX(Options_Journal!$B$5:$B$14,INT((ROW()-5)/3)+5-4)</x:f>
        <x:v>Trend</x:v>
      </x:c>
      <x:c r="Y28" s="61" t="n">
        <x:f>INT((ROW()-5)/3)+5</x:f>
        <x:v>12</x:v>
      </x:c>
      <x:c r="Z28" s="61" t="str">
        <x:f>IF(E28&gt;F28,"",IF(E28=1,IFERROR(LEFT(INDEX(Options_Journal!$G$5:$G$14,INT((ROW()-5)/3)+5-4),FIND("/",INDEX(Options_Journal!$G$5:$G$14,INT((ROW()-5)/3)+5-4))-1),INDEX(Options_Journal!$G$5:$G$14,INT((ROW()-5)/3)+5-4)),IF(E28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29">
      <x:c r="A29" s="20" t="n">
        <x:f>INDEX(Options_Journal!$A$5:$A$14,INT((ROW()-5)/3)+5-4)</x:f>
        <x:v>9</x:v>
      </x:c>
      <x:c r="B29" s="20" t="str">
        <x:f>INDEX(Options_Journal!$E$5:$E$14,INT((ROW()-5)/3)+5-4)</x:f>
        <x:v>UBER</x:v>
      </x:c>
      <x:c r="C29" s="20" t="str">
        <x:f>INDEX(Options_Journal!$F$5:$F$14,INT((ROW()-5)/3)+5-4)</x:f>
        <x:v>Call</x:v>
      </x:c>
      <x:c r="D29" s="20" t="n">
        <x:f>INDEX(Options_Journal!$O$5:$O$14,INT((ROW()-5)/3)+5-4)</x:f>
        <x:v>373</x:v>
      </x:c>
      <x:c r="E29" s="20" t="n">
        <x:f>MOD(ROW()-5,3)+1</x:f>
        <x:v>1</x:v>
      </x:c>
      <x:c r="F29" s="20" t="n">
        <x:f>IF(ISNUMBER(SEARCH("butterfly",C29)),3,IF(OR(ISNUMBER(SEARCH("vcall",C29)),ISNUMBER(SEARCH("vput",C29)),ISNUMBER(SEARCH("vertical",C29))),2,1))</x:f>
        <x:v>1</x:v>
      </x:c>
      <x:c r="G29" s="20" t="str">
        <x:f>IF(E29&gt;F29,"",IF(ISNUMBER(SEARCH("call",C29)),"CALL",IF(ISNUMBER(SEARCH("put",C29)),"PUT","REVIEW")))</x:f>
        <x:v>CALL</x:v>
      </x:c>
      <x:c r="H29" s="20" t="str">
        <x:f>IF(E29&gt;F29,"",IF(F29=1,IF(INDEX(Options_Journal!$K$5:$K$14,INT((ROW()-5)/3)+5-4)&lt;0,"Long","Short"),IF(F29=3,IF(E29=2,"Short","Long"),IF(ISNUMBER(SEARCH("(cr)",C29)),IF(E29=1,"Short","Long"),IF(ISNUMBER(SEARCH("(dr)",C29)),IF(E29=1,"Long","Short"),"Review")))))</x:f>
        <x:v>Long</x:v>
      </x:c>
      <x:c r="I29" s="20" t="n">
        <x:f>IF(E29&gt;F29,"",IFERROR(VALUE(IF(E29=1,IFERROR(LEFT(INDEX(Options_Journal!$G$5:$G$14,INT((ROW()-5)/3)+5-4),FIND("/",INDEX(Options_Journal!$G$5:$G$14,INT((ROW()-5)/3)+5-4))-1),INDEX(Options_Journal!$G$5:$G$14,INT((ROW()-5)/3)+5-4)),IF(E29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120</x:v>
      </x:c>
      <x:c r="J29" s="20" t="n">
        <x:f>IF(E29&gt;F29,"",INDEX(Options_Journal!$J$5:$J$14,INT((ROW()-5)/3)+5-4)*IF(AND(F29=3,E29=2),2,1))</x:f>
        <x:v>1</x:v>
      </x:c>
      <x:c r="K29" s="20" t="n">
        <x:f>IF(H29="","",J29*IF(H29="Long",1,-1))</x:f>
        <x:v>1</x:v>
      </x:c>
      <x:c r="L29" s="98" t="n">
        <x:f>IF(E29&gt;F29,"",IFERROR(XLOOKUP(A29&amp;"-"&amp;E29,Option_Data_Demo!$A$5:$A$21,Option_Data_Demo!$D$5:$D$21),""))</x:f>
        <x:v>15.8</x:v>
      </x:c>
      <x:c r="M29" s="100" t="n">
        <x:f>IF(L29="","",XLOOKUP(A29&amp;"-"&amp;E29,Option_Data_Demo!$A$5:$A$21,Option_Data_Demo!$E$5:$E$21))</x:f>
        <x:v>0.62</x:v>
      </x:c>
      <x:c r="N29" s="100" t="n">
        <x:f>IF(L29="","",XLOOKUP(A29&amp;"-"&amp;E29,Option_Data_Demo!$A$5:$A$21,Option_Data_Demo!$F$5:$F$21))</x:f>
        <x:v>-0.02</x:v>
      </x:c>
      <x:c r="O29" s="100" t="n">
        <x:f>IF(L29="","",XLOOKUP(A29&amp;"-"&amp;E29,Option_Data_Demo!$A$5:$A$21,Option_Data_Demo!$G$5:$G$21))</x:f>
        <x:v>0.33</x:v>
      </x:c>
      <x:c r="P29" s="100" t="n">
        <x:f>IF(L29="","",XLOOKUP(A29&amp;"-"&amp;E29,Option_Data_Demo!$A$5:$A$21,Option_Data_Demo!$H$5:$H$21))</x:f>
        <x:v>0.01</x:v>
      </x:c>
      <x:c r="Q29" s="100" t="n">
        <x:f>IF(L29="","",XLOOKUP(A29&amp;"-"&amp;E29,Option_Data_Demo!$A$5:$A$21,Option_Data_Demo!$I$5:$I$21))</x:f>
        <x:v>0.37</x:v>
      </x:c>
      <x:c r="R29" s="82" t="n">
        <x:f>IF(L29="","",M29*K29*100)</x:f>
        <x:v>62</x:v>
      </x:c>
      <x:c r="S29" s="82" t="n">
        <x:f>IF(L29="","",N29*K29*100)</x:f>
        <x:v>-2</x:v>
      </x:c>
      <x:c r="T29" s="82" t="n">
        <x:f>IF(L29="","",O29*K29*100)</x:f>
        <x:v>33</x:v>
      </x:c>
      <x:c r="U29" s="82" t="n">
        <x:f>IF(L29="","",P29*K29*100)</x:f>
        <x:v>1</x:v>
      </x:c>
      <x:c r="V29" s="82" t="n">
        <x:f>IF(L29="","",L29*K29*100)</x:f>
        <x:v>1580</x:v>
      </x:c>
      <x:c r="W29" s="20" t="str">
        <x:f>INDEX(Options_Journal!$N$5:$N$14,INT((ROW()-5)/3)+5-4)</x:f>
        <x:v>TECH</x:v>
      </x:c>
      <x:c r="X29" s="20" t="str">
        <x:f>INDEX(Options_Journal!$B$5:$B$14,INT((ROW()-5)/3)+5-4)</x:f>
        <x:v>Leap</x:v>
      </x:c>
      <x:c r="Y29" s="61" t="n">
        <x:f>INT((ROW()-5)/3)+5</x:f>
        <x:v>13</x:v>
      </x:c>
      <x:c r="Z29" s="61" t="n">
        <x:f>IF(E29&gt;F29,"",IF(E29=1,IFERROR(LEFT(INDEX(Options_Journal!$G$5:$G$14,INT((ROW()-5)/3)+5-4),FIND("/",INDEX(Options_Journal!$G$5:$G$14,INT((ROW()-5)/3)+5-4))-1),INDEX(Options_Journal!$G$5:$G$14,INT((ROW()-5)/3)+5-4)),IF(E29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120</x:v>
      </x:c>
    </x:row>
    <x:row r="30">
      <x:c r="A30" s="20" t="n">
        <x:f>INDEX(Options_Journal!$A$5:$A$14,INT((ROW()-5)/3)+5-4)</x:f>
        <x:v>9</x:v>
      </x:c>
      <x:c r="B30" s="20" t="str">
        <x:f>INDEX(Options_Journal!$E$5:$E$14,INT((ROW()-5)/3)+5-4)</x:f>
        <x:v>UBER</x:v>
      </x:c>
      <x:c r="C30" s="20" t="str">
        <x:f>INDEX(Options_Journal!$F$5:$F$14,INT((ROW()-5)/3)+5-4)</x:f>
        <x:v>Call</x:v>
      </x:c>
      <x:c r="D30" s="20" t="n">
        <x:f>INDEX(Options_Journal!$O$5:$O$14,INT((ROW()-5)/3)+5-4)</x:f>
        <x:v>373</x:v>
      </x:c>
      <x:c r="E30" s="20" t="n">
        <x:f>MOD(ROW()-5,3)+1</x:f>
        <x:v>2</x:v>
      </x:c>
      <x:c r="F30" s="20" t="n">
        <x:f>IF(ISNUMBER(SEARCH("butterfly",C30)),3,IF(OR(ISNUMBER(SEARCH("vcall",C30)),ISNUMBER(SEARCH("vput",C30)),ISNUMBER(SEARCH("vertical",C30))),2,1))</x:f>
        <x:v>1</x:v>
      </x:c>
      <x:c r="G30" s="20" t="str">
        <x:f>IF(E30&gt;F30,"",IF(ISNUMBER(SEARCH("call",C30)),"CALL",IF(ISNUMBER(SEARCH("put",C30)),"PUT","REVIEW")))</x:f>
      </x:c>
      <x:c r="H30" s="20" t="str">
        <x:f>IF(E30&gt;F30,"",IF(F30=1,IF(INDEX(Options_Journal!$K$5:$K$14,INT((ROW()-5)/3)+5-4)&lt;0,"Long","Short"),IF(F30=3,IF(E30=2,"Short","Long"),IF(ISNUMBER(SEARCH("(cr)",C30)),IF(E30=1,"Short","Long"),IF(ISNUMBER(SEARCH("(dr)",C30)),IF(E30=1,"Long","Short"),"Review")))))</x:f>
      </x:c>
      <x:c r="I30" s="20" t="str">
        <x:f>IF(E30&gt;F30,"",IFERROR(VALUE(IF(E30=1,IFERROR(LEFT(INDEX(Options_Journal!$G$5:$G$14,INT((ROW()-5)/3)+5-4),FIND("/",INDEX(Options_Journal!$G$5:$G$14,INT((ROW()-5)/3)+5-4))-1),INDEX(Options_Journal!$G$5:$G$14,INT((ROW()-5)/3)+5-4)),IF(E30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30" s="20" t="str">
        <x:f>IF(E30&gt;F30,"",INDEX(Options_Journal!$J$5:$J$14,INT((ROW()-5)/3)+5-4)*IF(AND(F30=3,E30=2),2,1))</x:f>
      </x:c>
      <x:c r="K30" s="20" t="str">
        <x:f>IF(H30="","",J30*IF(H30="Long",1,-1))</x:f>
      </x:c>
      <x:c r="L30" s="98" t="str">
        <x:f>IF(E30&gt;F30,"",IFERROR(XLOOKUP(A30&amp;"-"&amp;E30,Option_Data_Demo!$A$5:$A$21,Option_Data_Demo!$D$5:$D$21),""))</x:f>
      </x:c>
      <x:c r="M30" s="100" t="str">
        <x:f>IF(L30="","",XLOOKUP(A30&amp;"-"&amp;E30,Option_Data_Demo!$A$5:$A$21,Option_Data_Demo!$E$5:$E$21))</x:f>
      </x:c>
      <x:c r="N30" s="100" t="str">
        <x:f>IF(L30="","",XLOOKUP(A30&amp;"-"&amp;E30,Option_Data_Demo!$A$5:$A$21,Option_Data_Demo!$F$5:$F$21))</x:f>
      </x:c>
      <x:c r="O30" s="100" t="str">
        <x:f>IF(L30="","",XLOOKUP(A30&amp;"-"&amp;E30,Option_Data_Demo!$A$5:$A$21,Option_Data_Demo!$G$5:$G$21))</x:f>
      </x:c>
      <x:c r="P30" s="100" t="str">
        <x:f>IF(L30="","",XLOOKUP(A30&amp;"-"&amp;E30,Option_Data_Demo!$A$5:$A$21,Option_Data_Demo!$H$5:$H$21))</x:f>
      </x:c>
      <x:c r="Q30" s="100" t="str">
        <x:f>IF(L30="","",XLOOKUP(A30&amp;"-"&amp;E30,Option_Data_Demo!$A$5:$A$21,Option_Data_Demo!$I$5:$I$21))</x:f>
      </x:c>
      <x:c r="R30" s="82" t="str">
        <x:f>IF(L30="","",M30*K30*100)</x:f>
      </x:c>
      <x:c r="S30" s="82" t="str">
        <x:f>IF(L30="","",N30*K30*100)</x:f>
      </x:c>
      <x:c r="T30" s="82" t="str">
        <x:f>IF(L30="","",O30*K30*100)</x:f>
      </x:c>
      <x:c r="U30" s="82" t="str">
        <x:f>IF(L30="","",P30*K30*100)</x:f>
      </x:c>
      <x:c r="V30" s="82" t="str">
        <x:f>IF(L30="","",L30*K30*100)</x:f>
      </x:c>
      <x:c r="W30" s="20" t="str">
        <x:f>INDEX(Options_Journal!$N$5:$N$14,INT((ROW()-5)/3)+5-4)</x:f>
        <x:v>TECH</x:v>
      </x:c>
      <x:c r="X30" s="20" t="str">
        <x:f>INDEX(Options_Journal!$B$5:$B$14,INT((ROW()-5)/3)+5-4)</x:f>
        <x:v>Leap</x:v>
      </x:c>
      <x:c r="Y30" s="61" t="n">
        <x:f>INT((ROW()-5)/3)+5</x:f>
        <x:v>13</x:v>
      </x:c>
      <x:c r="Z30" s="61" t="str">
        <x:f>IF(E30&gt;F30,"",IF(E30=1,IFERROR(LEFT(INDEX(Options_Journal!$G$5:$G$14,INT((ROW()-5)/3)+5-4),FIND("/",INDEX(Options_Journal!$G$5:$G$14,INT((ROW()-5)/3)+5-4))-1),INDEX(Options_Journal!$G$5:$G$14,INT((ROW()-5)/3)+5-4)),IF(E30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31">
      <x:c r="A31" s="20" t="n">
        <x:f>INDEX(Options_Journal!$A$5:$A$14,INT((ROW()-5)/3)+5-4)</x:f>
        <x:v>9</x:v>
      </x:c>
      <x:c r="B31" s="20" t="str">
        <x:f>INDEX(Options_Journal!$E$5:$E$14,INT((ROW()-5)/3)+5-4)</x:f>
        <x:v>UBER</x:v>
      </x:c>
      <x:c r="C31" s="20" t="str">
        <x:f>INDEX(Options_Journal!$F$5:$F$14,INT((ROW()-5)/3)+5-4)</x:f>
        <x:v>Call</x:v>
      </x:c>
      <x:c r="D31" s="20" t="n">
        <x:f>INDEX(Options_Journal!$O$5:$O$14,INT((ROW()-5)/3)+5-4)</x:f>
        <x:v>373</x:v>
      </x:c>
      <x:c r="E31" s="20" t="n">
        <x:f>MOD(ROW()-5,3)+1</x:f>
        <x:v>3</x:v>
      </x:c>
      <x:c r="F31" s="20" t="n">
        <x:f>IF(ISNUMBER(SEARCH("butterfly",C31)),3,IF(OR(ISNUMBER(SEARCH("vcall",C31)),ISNUMBER(SEARCH("vput",C31)),ISNUMBER(SEARCH("vertical",C31))),2,1))</x:f>
        <x:v>1</x:v>
      </x:c>
      <x:c r="G31" s="20" t="str">
        <x:f>IF(E31&gt;F31,"",IF(ISNUMBER(SEARCH("call",C31)),"CALL",IF(ISNUMBER(SEARCH("put",C31)),"PUT","REVIEW")))</x:f>
      </x:c>
      <x:c r="H31" s="20" t="str">
        <x:f>IF(E31&gt;F31,"",IF(F31=1,IF(INDEX(Options_Journal!$K$5:$K$14,INT((ROW()-5)/3)+5-4)&lt;0,"Long","Short"),IF(F31=3,IF(E31=2,"Short","Long"),IF(ISNUMBER(SEARCH("(cr)",C31)),IF(E31=1,"Short","Long"),IF(ISNUMBER(SEARCH("(dr)",C31)),IF(E31=1,"Long","Short"),"Review")))))</x:f>
      </x:c>
      <x:c r="I31" s="20" t="str">
        <x:f>IF(E31&gt;F31,"",IFERROR(VALUE(IF(E31=1,IFERROR(LEFT(INDEX(Options_Journal!$G$5:$G$14,INT((ROW()-5)/3)+5-4),FIND("/",INDEX(Options_Journal!$G$5:$G$14,INT((ROW()-5)/3)+5-4))-1),INDEX(Options_Journal!$G$5:$G$14,INT((ROW()-5)/3)+5-4)),IF(E31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</x:c>
      <x:c r="J31" s="20" t="str">
        <x:f>IF(E31&gt;F31,"",INDEX(Options_Journal!$J$5:$J$14,INT((ROW()-5)/3)+5-4)*IF(AND(F31=3,E31=2),2,1))</x:f>
      </x:c>
      <x:c r="K31" s="20" t="str">
        <x:f>IF(H31="","",J31*IF(H31="Long",1,-1))</x:f>
      </x:c>
      <x:c r="L31" s="98" t="str">
        <x:f>IF(E31&gt;F31,"",IFERROR(XLOOKUP(A31&amp;"-"&amp;E31,Option_Data_Demo!$A$5:$A$21,Option_Data_Demo!$D$5:$D$21),""))</x:f>
      </x:c>
      <x:c r="M31" s="100" t="str">
        <x:f>IF(L31="","",XLOOKUP(A31&amp;"-"&amp;E31,Option_Data_Demo!$A$5:$A$21,Option_Data_Demo!$E$5:$E$21))</x:f>
      </x:c>
      <x:c r="N31" s="100" t="str">
        <x:f>IF(L31="","",XLOOKUP(A31&amp;"-"&amp;E31,Option_Data_Demo!$A$5:$A$21,Option_Data_Demo!$F$5:$F$21))</x:f>
      </x:c>
      <x:c r="O31" s="100" t="str">
        <x:f>IF(L31="","",XLOOKUP(A31&amp;"-"&amp;E31,Option_Data_Demo!$A$5:$A$21,Option_Data_Demo!$G$5:$G$21))</x:f>
      </x:c>
      <x:c r="P31" s="100" t="str">
        <x:f>IF(L31="","",XLOOKUP(A31&amp;"-"&amp;E31,Option_Data_Demo!$A$5:$A$21,Option_Data_Demo!$H$5:$H$21))</x:f>
      </x:c>
      <x:c r="Q31" s="100" t="str">
        <x:f>IF(L31="","",XLOOKUP(A31&amp;"-"&amp;E31,Option_Data_Demo!$A$5:$A$21,Option_Data_Demo!$I$5:$I$21))</x:f>
      </x:c>
      <x:c r="R31" s="82" t="str">
        <x:f>IF(L31="","",M31*K31*100)</x:f>
      </x:c>
      <x:c r="S31" s="82" t="str">
        <x:f>IF(L31="","",N31*K31*100)</x:f>
      </x:c>
      <x:c r="T31" s="82" t="str">
        <x:f>IF(L31="","",O31*K31*100)</x:f>
      </x:c>
      <x:c r="U31" s="82" t="str">
        <x:f>IF(L31="","",P31*K31*100)</x:f>
      </x:c>
      <x:c r="V31" s="82" t="str">
        <x:f>IF(L31="","",L31*K31*100)</x:f>
      </x:c>
      <x:c r="W31" s="20" t="str">
        <x:f>INDEX(Options_Journal!$N$5:$N$14,INT((ROW()-5)/3)+5-4)</x:f>
        <x:v>TECH</x:v>
      </x:c>
      <x:c r="X31" s="20" t="str">
        <x:f>INDEX(Options_Journal!$B$5:$B$14,INT((ROW()-5)/3)+5-4)</x:f>
        <x:v>Leap</x:v>
      </x:c>
      <x:c r="Y31" s="61" t="n">
        <x:f>INT((ROW()-5)/3)+5</x:f>
        <x:v>13</x:v>
      </x:c>
      <x:c r="Z31" s="61" t="str">
        <x:f>IF(E31&gt;F31,"",IF(E31=1,IFERROR(LEFT(INDEX(Options_Journal!$G$5:$G$14,INT((ROW()-5)/3)+5-4),FIND("/",INDEX(Options_Journal!$G$5:$G$14,INT((ROW()-5)/3)+5-4))-1),INDEX(Options_Journal!$G$5:$G$14,INT((ROW()-5)/3)+5-4)),IF(E31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</x:c>
    </x:row>
    <x:row r="32">
      <x:c r="A32" s="20" t="n">
        <x:f>INDEX(Options_Journal!$A$5:$A$14,INT((ROW()-5)/3)+5-4)</x:f>
        <x:v>10</x:v>
      </x:c>
      <x:c r="B32" s="20" t="str">
        <x:f>INDEX(Options_Journal!$E$5:$E$14,INT((ROW()-5)/3)+5-4)</x:f>
        <x:v>TSLA</x:v>
      </x:c>
      <x:c r="C32" s="20" t="str">
        <x:f>INDEX(Options_Journal!$F$5:$F$14,INT((ROW()-5)/3)+5-4)</x:f>
        <x:v>Butterfly Call(dr)</x:v>
      </x:c>
      <x:c r="D32" s="20" t="n">
        <x:f>INDEX(Options_Journal!$O$5:$O$14,INT((ROW()-5)/3)+5-4)</x:f>
        <x:v>100</x:v>
      </x:c>
      <x:c r="E32" s="20" t="n">
        <x:f>MOD(ROW()-5,3)+1</x:f>
        <x:v>1</x:v>
      </x:c>
      <x:c r="F32" s="20" t="n">
        <x:f>IF(ISNUMBER(SEARCH("butterfly",C32)),3,IF(OR(ISNUMBER(SEARCH("vcall",C32)),ISNUMBER(SEARCH("vput",C32)),ISNUMBER(SEARCH("vertical",C32))),2,1))</x:f>
        <x:v>3</x:v>
      </x:c>
      <x:c r="G32" s="20" t="str">
        <x:f>IF(E32&gt;F32,"",IF(ISNUMBER(SEARCH("call",C32)),"CALL",IF(ISNUMBER(SEARCH("put",C32)),"PUT","REVIEW")))</x:f>
        <x:v>CALL</x:v>
      </x:c>
      <x:c r="H32" s="20" t="str">
        <x:f>IF(E32&gt;F32,"",IF(F32=1,IF(INDEX(Options_Journal!$K$5:$K$14,INT((ROW()-5)/3)+5-4)&lt;0,"Long","Short"),IF(F32=3,IF(E32=2,"Short","Long"),IF(ISNUMBER(SEARCH("(cr)",C32)),IF(E32=1,"Short","Long"),IF(ISNUMBER(SEARCH("(dr)",C32)),IF(E32=1,"Long","Short"),"Review")))))</x:f>
        <x:v>Long</x:v>
      </x:c>
      <x:c r="I32" s="20" t="n">
        <x:f>IF(E32&gt;F32,"",IFERROR(VALUE(IF(E32=1,IFERROR(LEFT(INDEX(Options_Journal!$G$5:$G$14,INT((ROW()-5)/3)+5-4),FIND("/",INDEX(Options_Journal!$G$5:$G$14,INT((ROW()-5)/3)+5-4))-1),INDEX(Options_Journal!$G$5:$G$14,INT((ROW()-5)/3)+5-4)),IF(E32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400</x:v>
      </x:c>
      <x:c r="J32" s="20" t="n">
        <x:f>IF(E32&gt;F32,"",INDEX(Options_Journal!$J$5:$J$14,INT((ROW()-5)/3)+5-4)*IF(AND(F32=3,E32=2),2,1))</x:f>
        <x:v>1</x:v>
      </x:c>
      <x:c r="K32" s="20" t="n">
        <x:f>IF(H32="","",J32*IF(H32="Long",1,-1))</x:f>
        <x:v>1</x:v>
      </x:c>
      <x:c r="L32" s="98" t="n">
        <x:f>IF(E32&gt;F32,"",IFERROR(XLOOKUP(A32&amp;"-"&amp;E32,Option_Data_Demo!$A$5:$A$21,Option_Data_Demo!$D$5:$D$21),""))</x:f>
        <x:v>28</x:v>
      </x:c>
      <x:c r="M32" s="100" t="n">
        <x:f>IF(L32="","",XLOOKUP(A32&amp;"-"&amp;E32,Option_Data_Demo!$A$5:$A$21,Option_Data_Demo!$E$5:$E$21))</x:f>
        <x:v>0.64</x:v>
      </x:c>
      <x:c r="N32" s="100" t="n">
        <x:f>IF(L32="","",XLOOKUP(A32&amp;"-"&amp;E32,Option_Data_Demo!$A$5:$A$21,Option_Data_Demo!$F$5:$F$21))</x:f>
        <x:v>-0.11</x:v>
      </x:c>
      <x:c r="O32" s="100" t="n">
        <x:f>IF(L32="","",XLOOKUP(A32&amp;"-"&amp;E32,Option_Data_Demo!$A$5:$A$21,Option_Data_Demo!$G$5:$G$21))</x:f>
        <x:v>0.35</x:v>
      </x:c>
      <x:c r="P32" s="100" t="n">
        <x:f>IF(L32="","",XLOOKUP(A32&amp;"-"&amp;E32,Option_Data_Demo!$A$5:$A$21,Option_Data_Demo!$H$5:$H$21))</x:f>
        <x:v>0.009</x:v>
      </x:c>
      <x:c r="Q32" s="100" t="n">
        <x:f>IF(L32="","",XLOOKUP(A32&amp;"-"&amp;E32,Option_Data_Demo!$A$5:$A$21,Option_Data_Demo!$I$5:$I$21))</x:f>
        <x:v>0.64</x:v>
      </x:c>
      <x:c r="R32" s="82" t="n">
        <x:f>IF(L32="","",M32*K32*100)</x:f>
        <x:v>64</x:v>
      </x:c>
      <x:c r="S32" s="82" t="n">
        <x:f>IF(L32="","",N32*K32*100)</x:f>
        <x:v>-11</x:v>
      </x:c>
      <x:c r="T32" s="82" t="n">
        <x:f>IF(L32="","",O32*K32*100)</x:f>
        <x:v>35</x:v>
      </x:c>
      <x:c r="U32" s="82" t="n">
        <x:f>IF(L32="","",P32*K32*100)</x:f>
        <x:v>0.8999999999999999</x:v>
      </x:c>
      <x:c r="V32" s="82" t="n">
        <x:f>IF(L32="","",L32*K32*100)</x:f>
        <x:v>2800</x:v>
      </x:c>
      <x:c r="W32" s="20" t="str">
        <x:f>INDEX(Options_Journal!$N$5:$N$14,INT((ROW()-5)/3)+5-4)</x:f>
        <x:v>TECH</x:v>
      </x:c>
      <x:c r="X32" s="20" t="str">
        <x:f>INDEX(Options_Journal!$B$5:$B$14,INT((ROW()-5)/3)+5-4)</x:f>
        <x:v>Spec</x:v>
      </x:c>
      <x:c r="Y32" s="61" t="n">
        <x:f>INT((ROW()-5)/3)+5</x:f>
        <x:v>14</x:v>
      </x:c>
      <x:c r="Z32" s="61" t="n">
        <x:f>IF(E32&gt;F32,"",IF(E32=1,IFERROR(LEFT(INDEX(Options_Journal!$G$5:$G$14,INT((ROW()-5)/3)+5-4),FIND("/",INDEX(Options_Journal!$G$5:$G$14,INT((ROW()-5)/3)+5-4))-1),INDEX(Options_Journal!$G$5:$G$14,INT((ROW()-5)/3)+5-4)),IF(E32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400</x:v>
      </x:c>
    </x:row>
    <x:row r="33">
      <x:c r="A33" s="20" t="n">
        <x:f>INDEX(Options_Journal!$A$5:$A$14,INT((ROW()-5)/3)+5-4)</x:f>
        <x:v>10</x:v>
      </x:c>
      <x:c r="B33" s="20" t="str">
        <x:f>INDEX(Options_Journal!$E$5:$E$14,INT((ROW()-5)/3)+5-4)</x:f>
        <x:v>TSLA</x:v>
      </x:c>
      <x:c r="C33" s="20" t="str">
        <x:f>INDEX(Options_Journal!$F$5:$F$14,INT((ROW()-5)/3)+5-4)</x:f>
        <x:v>Butterfly Call(dr)</x:v>
      </x:c>
      <x:c r="D33" s="20" t="n">
        <x:f>INDEX(Options_Journal!$O$5:$O$14,INT((ROW()-5)/3)+5-4)</x:f>
        <x:v>100</x:v>
      </x:c>
      <x:c r="E33" s="20" t="n">
        <x:f>MOD(ROW()-5,3)+1</x:f>
        <x:v>2</x:v>
      </x:c>
      <x:c r="F33" s="20" t="n">
        <x:f>IF(ISNUMBER(SEARCH("butterfly",C33)),3,IF(OR(ISNUMBER(SEARCH("vcall",C33)),ISNUMBER(SEARCH("vput",C33)),ISNUMBER(SEARCH("vertical",C33))),2,1))</x:f>
        <x:v>3</x:v>
      </x:c>
      <x:c r="G33" s="20" t="str">
        <x:f>IF(E33&gt;F33,"",IF(ISNUMBER(SEARCH("call",C33)),"CALL",IF(ISNUMBER(SEARCH("put",C33)),"PUT","REVIEW")))</x:f>
        <x:v>CALL</x:v>
      </x:c>
      <x:c r="H33" s="20" t="str">
        <x:f>IF(E33&gt;F33,"",IF(F33=1,IF(INDEX(Options_Journal!$K$5:$K$14,INT((ROW()-5)/3)+5-4)&lt;0,"Long","Short"),IF(F33=3,IF(E33=2,"Short","Long"),IF(ISNUMBER(SEARCH("(cr)",C33)),IF(E33=1,"Short","Long"),IF(ISNUMBER(SEARCH("(dr)",C33)),IF(E33=1,"Long","Short"),"Review")))))</x:f>
        <x:v>Short</x:v>
      </x:c>
      <x:c r="I33" s="20" t="n">
        <x:f>IF(E33&gt;F33,"",IFERROR(VALUE(IF(E33=1,IFERROR(LEFT(INDEX(Options_Journal!$G$5:$G$14,INT((ROW()-5)/3)+5-4),FIND("/",INDEX(Options_Journal!$G$5:$G$14,INT((ROW()-5)/3)+5-4))-1),INDEX(Options_Journal!$G$5:$G$14,INT((ROW()-5)/3)+5-4)),IF(E33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420</x:v>
      </x:c>
      <x:c r="J33" s="20" t="n">
        <x:f>IF(E33&gt;F33,"",INDEX(Options_Journal!$J$5:$J$14,INT((ROW()-5)/3)+5-4)*IF(AND(F33=3,E33=2),2,1))</x:f>
        <x:v>2</x:v>
      </x:c>
      <x:c r="K33" s="20" t="n">
        <x:f>IF(H33="","",J33*IF(H33="Long",1,-1))</x:f>
        <x:v>-2</x:v>
      </x:c>
      <x:c r="L33" s="98" t="n">
        <x:f>IF(E33&gt;F33,"",IFERROR(XLOOKUP(A33&amp;"-"&amp;E33,Option_Data_Demo!$A$5:$A$21,Option_Data_Demo!$D$5:$D$21),""))</x:f>
        <x:v>20</x:v>
      </x:c>
      <x:c r="M33" s="100" t="n">
        <x:f>IF(L33="","",XLOOKUP(A33&amp;"-"&amp;E33,Option_Data_Demo!$A$5:$A$21,Option_Data_Demo!$E$5:$E$21))</x:f>
        <x:v>0.48</x:v>
      </x:c>
      <x:c r="N33" s="100" t="n">
        <x:f>IF(L33="","",XLOOKUP(A33&amp;"-"&amp;E33,Option_Data_Demo!$A$5:$A$21,Option_Data_Demo!$F$5:$F$21))</x:f>
        <x:v>-0.12</x:v>
      </x:c>
      <x:c r="O33" s="100" t="n">
        <x:f>IF(L33="","",XLOOKUP(A33&amp;"-"&amp;E33,Option_Data_Demo!$A$5:$A$21,Option_Data_Demo!$G$5:$G$21))</x:f>
        <x:v>0.36</x:v>
      </x:c>
      <x:c r="P33" s="100" t="n">
        <x:f>IF(L33="","",XLOOKUP(A33&amp;"-"&amp;E33,Option_Data_Demo!$A$5:$A$21,Option_Data_Demo!$H$5:$H$21))</x:f>
        <x:v>0.01</x:v>
      </x:c>
      <x:c r="Q33" s="100" t="n">
        <x:f>IF(L33="","",XLOOKUP(A33&amp;"-"&amp;E33,Option_Data_Demo!$A$5:$A$21,Option_Data_Demo!$I$5:$I$21))</x:f>
        <x:v>0.63</x:v>
      </x:c>
      <x:c r="R33" s="82" t="n">
        <x:f>IF(L33="","",M33*K33*100)</x:f>
        <x:v>-96</x:v>
      </x:c>
      <x:c r="S33" s="82" t="n">
        <x:f>IF(L33="","",N33*K33*100)</x:f>
        <x:v>24</x:v>
      </x:c>
      <x:c r="T33" s="82" t="n">
        <x:f>IF(L33="","",O33*K33*100)</x:f>
        <x:v>-72</x:v>
      </x:c>
      <x:c r="U33" s="82" t="n">
        <x:f>IF(L33="","",P33*K33*100)</x:f>
        <x:v>-2</x:v>
      </x:c>
      <x:c r="V33" s="82" t="n">
        <x:f>IF(L33="","",L33*K33*100)</x:f>
        <x:v>-4000</x:v>
      </x:c>
      <x:c r="W33" s="20" t="str">
        <x:f>INDEX(Options_Journal!$N$5:$N$14,INT((ROW()-5)/3)+5-4)</x:f>
        <x:v>TECH</x:v>
      </x:c>
      <x:c r="X33" s="20" t="str">
        <x:f>INDEX(Options_Journal!$B$5:$B$14,INT((ROW()-5)/3)+5-4)</x:f>
        <x:v>Spec</x:v>
      </x:c>
      <x:c r="Y33" s="61" t="n">
        <x:f>INT((ROW()-5)/3)+5</x:f>
        <x:v>14</x:v>
      </x:c>
      <x:c r="Z33" s="61" t="n">
        <x:f>IF(E33&gt;F33,"",IF(E33=1,IFERROR(LEFT(INDEX(Options_Journal!$G$5:$G$14,INT((ROW()-5)/3)+5-4),FIND("/",INDEX(Options_Journal!$G$5:$G$14,INT((ROW()-5)/3)+5-4))-1),INDEX(Options_Journal!$G$5:$G$14,INT((ROW()-5)/3)+5-4)),IF(E33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420</x:v>
      </x:c>
    </x:row>
    <x:row r="34">
      <x:c r="A34" s="20" t="n">
        <x:f>INDEX(Options_Journal!$A$5:$A$14,INT((ROW()-5)/3)+5-4)</x:f>
        <x:v>10</x:v>
      </x:c>
      <x:c r="B34" s="20" t="str">
        <x:f>INDEX(Options_Journal!$E$5:$E$14,INT((ROW()-5)/3)+5-4)</x:f>
        <x:v>TSLA</x:v>
      </x:c>
      <x:c r="C34" s="20" t="str">
        <x:f>INDEX(Options_Journal!$F$5:$F$14,INT((ROW()-5)/3)+5-4)</x:f>
        <x:v>Butterfly Call(dr)</x:v>
      </x:c>
      <x:c r="D34" s="20" t="n">
        <x:f>INDEX(Options_Journal!$O$5:$O$14,INT((ROW()-5)/3)+5-4)</x:f>
        <x:v>100</x:v>
      </x:c>
      <x:c r="E34" s="20" t="n">
        <x:f>MOD(ROW()-5,3)+1</x:f>
        <x:v>3</x:v>
      </x:c>
      <x:c r="F34" s="20" t="n">
        <x:f>IF(ISNUMBER(SEARCH("butterfly",C34)),3,IF(OR(ISNUMBER(SEARCH("vcall",C34)),ISNUMBER(SEARCH("vput",C34)),ISNUMBER(SEARCH("vertical",C34))),2,1))</x:f>
        <x:v>3</x:v>
      </x:c>
      <x:c r="G34" s="20" t="str">
        <x:f>IF(E34&gt;F34,"",IF(ISNUMBER(SEARCH("call",C34)),"CALL",IF(ISNUMBER(SEARCH("put",C34)),"PUT","REVIEW")))</x:f>
        <x:v>CALL</x:v>
      </x:c>
      <x:c r="H34" s="20" t="str">
        <x:f>IF(E34&gt;F34,"",IF(F34=1,IF(INDEX(Options_Journal!$K$5:$K$14,INT((ROW()-5)/3)+5-4)&lt;0,"Long","Short"),IF(F34=3,IF(E34=2,"Short","Long"),IF(ISNUMBER(SEARCH("(cr)",C34)),IF(E34=1,"Short","Long"),IF(ISNUMBER(SEARCH("(dr)",C34)),IF(E34=1,"Long","Short"),"Review")))))</x:f>
        <x:v>Long</x:v>
      </x:c>
      <x:c r="I34" s="20" t="n">
        <x:f>IF(E34&gt;F34,"",IFERROR(VALUE(IF(E34=1,IFERROR(LEFT(INDEX(Options_Journal!$G$5:$G$14,INT((ROW()-5)/3)+5-4),FIND("/",INDEX(Options_Journal!$G$5:$G$14,INT((ROW()-5)/3)+5-4))-1),INDEX(Options_Journal!$G$5:$G$14,INT((ROW()-5)/3)+5-4)),IF(E34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,""))</x:f>
        <x:v>440</x:v>
      </x:c>
      <x:c r="J34" s="20" t="n">
        <x:f>IF(E34&gt;F34,"",INDEX(Options_Journal!$J$5:$J$14,INT((ROW()-5)/3)+5-4)*IF(AND(F34=3,E34=2),2,1))</x:f>
        <x:v>1</x:v>
      </x:c>
      <x:c r="K34" s="20" t="n">
        <x:f>IF(H34="","",J34*IF(H34="Long",1,-1))</x:f>
        <x:v>1</x:v>
      </x:c>
      <x:c r="L34" s="98" t="n">
        <x:f>IF(E34&gt;F34,"",IFERROR(XLOOKUP(A34&amp;"-"&amp;E34,Option_Data_Demo!$A$5:$A$21,Option_Data_Demo!$D$5:$D$21),""))</x:f>
        <x:v>14</x:v>
      </x:c>
      <x:c r="M34" s="100" t="n">
        <x:f>IF(L34="","",XLOOKUP(A34&amp;"-"&amp;E34,Option_Data_Demo!$A$5:$A$21,Option_Data_Demo!$E$5:$E$21))</x:f>
        <x:v>0.34</x:v>
      </x:c>
      <x:c r="N34" s="100" t="n">
        <x:f>IF(L34="","",XLOOKUP(A34&amp;"-"&amp;E34,Option_Data_Demo!$A$5:$A$21,Option_Data_Demo!$F$5:$F$21))</x:f>
        <x:v>-0.1</x:v>
      </x:c>
      <x:c r="O34" s="100" t="n">
        <x:f>IF(L34="","",XLOOKUP(A34&amp;"-"&amp;E34,Option_Data_Demo!$A$5:$A$21,Option_Data_Demo!$G$5:$G$21))</x:f>
        <x:v>0.33</x:v>
      </x:c>
      <x:c r="P34" s="100" t="n">
        <x:f>IF(L34="","",XLOOKUP(A34&amp;"-"&amp;E34,Option_Data_Demo!$A$5:$A$21,Option_Data_Demo!$H$5:$H$21))</x:f>
        <x:v>0.009</x:v>
      </x:c>
      <x:c r="Q34" s="100" t="n">
        <x:f>IF(L34="","",XLOOKUP(A34&amp;"-"&amp;E34,Option_Data_Demo!$A$5:$A$21,Option_Data_Demo!$I$5:$I$21))</x:f>
        <x:v>0.62</x:v>
      </x:c>
      <x:c r="R34" s="82" t="n">
        <x:f>IF(L34="","",M34*K34*100)</x:f>
        <x:v>34</x:v>
      </x:c>
      <x:c r="S34" s="82" t="n">
        <x:f>IF(L34="","",N34*K34*100)</x:f>
        <x:v>-10</x:v>
      </x:c>
      <x:c r="T34" s="82" t="n">
        <x:f>IF(L34="","",O34*K34*100)</x:f>
        <x:v>33</x:v>
      </x:c>
      <x:c r="U34" s="82" t="n">
        <x:f>IF(L34="","",P34*K34*100)</x:f>
        <x:v>0.8999999999999999</x:v>
      </x:c>
      <x:c r="V34" s="82" t="n">
        <x:f>IF(L34="","",L34*K34*100)</x:f>
        <x:v>1400</x:v>
      </x:c>
      <x:c r="W34" s="20" t="str">
        <x:f>INDEX(Options_Journal!$N$5:$N$14,INT((ROW()-5)/3)+5-4)</x:f>
        <x:v>TECH</x:v>
      </x:c>
      <x:c r="X34" s="20" t="str">
        <x:f>INDEX(Options_Journal!$B$5:$B$14,INT((ROW()-5)/3)+5-4)</x:f>
        <x:v>Spec</x:v>
      </x:c>
      <x:c r="Y34" s="61" t="n">
        <x:f>INT((ROW()-5)/3)+5</x:f>
        <x:v>14</x:v>
      </x:c>
      <x:c r="Z34" s="61" t="n">
        <x:f>IF(E34&gt;F34,"",IF(E34=1,IFERROR(LEFT(INDEX(Options_Journal!$G$5:$G$14,INT((ROW()-5)/3)+5-4),FIND("/",INDEX(Options_Journal!$G$5:$G$14,INT((ROW()-5)/3)+5-4))-1),INDEX(Options_Journal!$G$5:$G$14,INT((ROW()-5)/3)+5-4)),IF(E34=2,IFERROR(LEFT(RIGHT(INDEX(Options_Journal!$G$5:$G$14,INT((ROW()-5)/3)+5-4),LEN(INDEX(Options_Journal!$G$5:$G$14,INT((ROW()-5)/3)+5-4))-FIND("/",INDEX(Options_Journal!$G$5:$G$14,INT((ROW()-5)/3)+5-4))),FIND("/",RIGHT(INDEX(Options_Journal!$G$5:$G$14,INT((ROW()-5)/3)+5-4),LEN(INDEX(Options_Journal!$G$5:$G$14,INT((ROW()-5)/3)+5-4))-FIND("/",INDEX(Options_Journal!$G$5:$G$14,INT((ROW()-5)/3)+5-4))))-1),RIGHT(INDEX(Options_Journal!$G$5:$G$14,INT((ROW()-5)/3)+5-4),LEN(INDEX(Options_Journal!$G$5:$G$14,INT((ROW()-5)/3)+5-4))-FIND("/",INDEX(Options_Journal!$G$5:$G$14,INT((ROW()-5)/3)+5-4)))),IFERROR(RIGHT(RIGHT(INDEX(Options_Journal!$G$5:$G$14,INT((ROW()-5)/3)+5-4),LEN(INDEX(Options_Journal!$G$5:$G$14,INT((ROW()-5)/3)+5-4))-FIND("/",INDEX(Options_Journal!$G$5:$G$14,INT((ROW()-5)/3)+5-4))),LEN(RIGHT(INDEX(Options_Journal!$G$5:$G$14,INT((ROW()-5)/3)+5-4),LEN(INDEX(Options_Journal!$G$5:$G$14,INT((ROW()-5)/3)+5-4))-FIND("/",INDEX(Options_Journal!$G$5:$G$14,INT((ROW()-5)/3)+5-4))))-FIND("/",RIGHT(INDEX(Options_Journal!$G$5:$G$14,INT((ROW()-5)/3)+5-4),LEN(INDEX(Options_Journal!$G$5:$G$14,INT((ROW()-5)/3)+5-4))-FIND("/",INDEX(Options_Journal!$G$5:$G$14,INT((ROW()-5)/3)+5-4))))),""))))</x:f>
        <x:v>440</x:v>
      </x:c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</x:sheetData>
  <x:mergeCells>
    <x:mergeCell ref="A1:Z2"/>
  </x:mergeCells>
  <x:conditionalFormatting sqref="H5:H34">
    <x:cfRule type="expression" dxfId="3" priority="1">
      <x:formula>H5="Long"</x:formula>
    </x:cfRule>
    <x:cfRule type="expression" dxfId="4" priority="2">
      <x:formula>H5="Short"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26" hidden="0" customWidth="1"/>
    <x:col min="4" max="4" width="18" hidden="0" customWidth="1"/>
    <x:col min="5" max="5" width="18" hidden="0" customWidth="1"/>
    <x:col min="6" max="6" width="26" hidden="0" customWidth="1"/>
    <x:col min="7" max="7" width="12" hidden="0" customWidth="1"/>
  </x:cols>
  <x:sheetData>
    <x:row r="1">
      <x:c r="A1" s="5" t="str">
        <x:v>EVENT DASHBOARD — SYNTHETIC CATALYST CALENDAR</x:v>
      </x:c>
      <x:c r="B1" s="5"/>
      <x:c r="C1" s="5"/>
      <x:c r="D1" s="5"/>
      <x:c r="E1" s="5"/>
      <x:c r="F1" s="5"/>
      <x:c r="G1" s="5"/>
    </x:row>
    <x:row r="2">
      <x:c r="A2" s="5"/>
      <x:c r="B2" s="5"/>
      <x:c r="C2" s="5"/>
      <x:c r="D2" s="5"/>
      <x:c r="E2" s="5"/>
      <x:c r="F2" s="5"/>
      <x:c r="G2" s="5"/>
    </x:row>
    <x:row r="3">
      <x:c r="A3" s="2"/>
      <x:c r="B3" s="2"/>
      <x:c r="C3" s="2"/>
      <x:c r="D3" s="2"/>
      <x:c r="E3" s="2"/>
      <x:c r="F3" s="2"/>
      <x:c r="G3" s="2"/>
    </x:row>
    <x:row r="4">
      <x:c r="A4" s="51" t="str">
        <x:v>Event_Date</x:v>
      </x:c>
      <x:c r="B4" s="51" t="str">
        <x:v>Symbol</x:v>
      </x:c>
      <x:c r="C4" s="51" t="str">
        <x:v>Event_Name</x:v>
      </x:c>
      <x:c r="D4" s="51" t="str">
        <x:v>Event_Type</x:v>
      </x:c>
      <x:c r="E4" s="51" t="str">
        <x:v>Include_In_Action</x:v>
      </x:c>
      <x:c r="F4" s="51" t="str">
        <x:v>Notes</x:v>
      </x:c>
      <x:c r="G4" s="51" t="str">
        <x:v>Days_Until</x:v>
      </x:c>
    </x:row>
    <x:row r="5">
      <x:c r="A5" s="76" t="n">
        <x:v>46281</x:v>
      </x:c>
      <x:c r="B5" s="57" t="str">
        <x:v>SPY</x:v>
      </x:c>
      <x:c r="C5" s="57" t="str">
        <x:v>FOMC Rate Decision</x:v>
      </x:c>
      <x:c r="D5" s="57" t="str">
        <x:v>Macro</x:v>
      </x:c>
      <x:c r="E5" s="106" t="b">
        <x:v>1</x:v>
      </x:c>
      <x:c r="F5" s="57" t="str">
        <x:v>Portfolio-wide event</x:v>
      </x:c>
      <x:c r="G5" s="82" t="n">
        <x:f>A5-TODAY()</x:f>
        <x:v>7</x:v>
      </x:c>
    </x:row>
    <x:row r="6">
      <x:c r="A6" s="76" t="n">
        <x:v>46285</x:v>
      </x:c>
      <x:c r="B6" s="57" t="str">
        <x:v>NVDA</x:v>
      </x:c>
      <x:c r="C6" s="57" t="str">
        <x:v>NVDA Product Event</x:v>
      </x:c>
      <x:c r="D6" s="57" t="str">
        <x:v>Company</x:v>
      </x:c>
      <x:c r="E6" s="106" t="b">
        <x:v>1</x:v>
      </x:c>
      <x:c r="F6" s="57" t="str">
        <x:v>Synthetic catalyst</x:v>
      </x:c>
      <x:c r="G6" s="82" t="n">
        <x:f>A6-TODAY()</x:f>
        <x:v>11</x:v>
      </x:c>
    </x:row>
    <x:row r="7">
      <x:c r="A7" s="76" t="n">
        <x:v>46293</x:v>
      </x:c>
      <x:c r="B7" s="57" t="str">
        <x:v>TSLA</x:v>
      </x:c>
      <x:c r="C7" s="57" t="str">
        <x:v>TSLA Earnings</x:v>
      </x:c>
      <x:c r="D7" s="57" t="str">
        <x:v>Earnings</x:v>
      </x:c>
      <x:c r="E7" s="106" t="b">
        <x:v>1</x:v>
      </x:c>
      <x:c r="F7" s="57" t="str">
        <x:v>Synthetic catalyst</x:v>
      </x:c>
      <x:c r="G7" s="82" t="n">
        <x:f>A7-TODAY()</x:f>
        <x:v>19</x:v>
      </x:c>
    </x:row>
    <x:row r="8">
      <x:c r="A8" s="76" t="n">
        <x:v>46298</x:v>
      </x:c>
      <x:c r="B8" s="57" t="str">
        <x:v>VST</x:v>
      </x:c>
      <x:c r="C8" s="57" t="str">
        <x:v>VST Investor Day</x:v>
      </x:c>
      <x:c r="D8" s="57" t="str">
        <x:v>Company</x:v>
      </x:c>
      <x:c r="E8" s="106" t="b">
        <x:v>1</x:v>
      </x:c>
      <x:c r="F8" s="57" t="str">
        <x:v>Synthetic catalyst</x:v>
      </x:c>
      <x:c r="G8" s="82" t="n">
        <x:f>A8-TODAY()</x:f>
        <x:v>24</x:v>
      </x:c>
    </x:row>
    <x:row r="9">
      <x:c r="A9" s="76" t="n">
        <x:v>46308</x:v>
      </x:c>
      <x:c r="B9" s="57" t="str">
        <x:v>IONS</x:v>
      </x:c>
      <x:c r="C9" s="57" t="str">
        <x:v>IONS Regulatory Update</x:v>
      </x:c>
      <x:c r="D9" s="57" t="str">
        <x:v>FDA / Regulatory</x:v>
      </x:c>
      <x:c r="E9" s="106" t="b">
        <x:v>1</x:v>
      </x:c>
      <x:c r="F9" s="57" t="str">
        <x:v>Synthetic catalyst</x:v>
      </x:c>
      <x:c r="G9" s="82" t="n">
        <x:f>A9-TODAY()</x:f>
        <x:v>34</x:v>
      </x:c>
    </x:row>
    <x:row r="10">
      <x:c r="A10" s="76" t="n">
        <x:v>46318</x:v>
      </x:c>
      <x:c r="B10" s="57" t="str">
        <x:v>UBER</x:v>
      </x:c>
      <x:c r="C10" s="57" t="str">
        <x:v>UBER Earnings</x:v>
      </x:c>
      <x:c r="D10" s="57" t="str">
        <x:v>Earnings</x:v>
      </x:c>
      <x:c r="E10" s="106" t="b">
        <x:v>1</x:v>
      </x:c>
      <x:c r="F10" s="57" t="str">
        <x:v>Synthetic catalyst</x:v>
      </x:c>
      <x:c r="G10" s="82" t="n">
        <x:f>A10-TODAY()</x:f>
        <x:v>44</x:v>
      </x:c>
    </x:row>
    <x:row r="11">
      <x:c r="A11" s="76" t="n">
        <x:v>46325</x:v>
      </x:c>
      <x:c r="B11" s="57" t="str">
        <x:v>QQQ</x:v>
      </x:c>
      <x:c r="C11" s="57" t="str">
        <x:v>Monthly Options Expiration</x:v>
      </x:c>
      <x:c r="D11" s="57" t="str">
        <x:v>OpEx</x:v>
      </x:c>
      <x:c r="E11" s="106" t="b">
        <x:v>1</x:v>
      </x:c>
      <x:c r="F11" s="57" t="str">
        <x:v>Index event</x:v>
      </x:c>
      <x:c r="G11" s="82" t="n">
        <x:f>A11-TODAY()</x:f>
        <x:v>51</x:v>
      </x:c>
    </x:row>
    <x:row r="12">
      <x:c r="A12" s="76" t="n">
        <x:v>46331</x:v>
      </x:c>
      <x:c r="B12" s="57" t="str">
        <x:v>IBIT</x:v>
      </x:c>
      <x:c r="C12" s="57" t="str">
        <x:v>Crypto Policy Hearing</x:v>
      </x:c>
      <x:c r="D12" s="57" t="str">
        <x:v>Macro</x:v>
      </x:c>
      <x:c r="E12" s="106" t="b">
        <x:v>0</x:v>
      </x:c>
      <x:c r="F12" s="57" t="str">
        <x:v>Synthetic macro event</x:v>
      </x:c>
      <x:c r="G12" s="82" t="n">
        <x:f>A12-TODAY()</x:f>
        <x:v>57</x:v>
      </x:c>
    </x:row>
    <x:row r="13">
      <x:c r="A13" s="2"/>
      <x:c r="B13" s="2"/>
      <x:c r="C13" s="2"/>
      <x:c r="D13" s="2"/>
      <x:c r="E13" s="2"/>
      <x:c r="F13" s="2"/>
      <x:c r="G13" s="2"/>
    </x:row>
    <x:row r="14">
      <x:c r="A14" s="2"/>
      <x:c r="B14" s="2"/>
      <x:c r="C14" s="2"/>
      <x:c r="D14" s="2"/>
      <x:c r="E14" s="2"/>
      <x:c r="F14" s="2"/>
      <x:c r="G14" s="2"/>
    </x:row>
    <x:row r="15">
      <x:c r="A15" s="2"/>
      <x:c r="B15" s="2"/>
      <x:c r="C15" s="2"/>
      <x:c r="D15" s="2"/>
      <x:c r="E15" s="2"/>
      <x:c r="F15" s="2"/>
      <x:c r="G15" s="2"/>
    </x:row>
    <x:row r="16">
      <x:c r="A16" s="2"/>
      <x:c r="B16" s="2"/>
      <x:c r="C16" s="2"/>
      <x:c r="D16" s="2"/>
      <x:c r="E16" s="2"/>
      <x:c r="F16" s="2"/>
      <x:c r="G16" s="2"/>
    </x:row>
    <x:row r="17">
      <x:c r="A17" s="2"/>
      <x:c r="B17" s="2"/>
      <x:c r="C17" s="2"/>
      <x:c r="D17" s="2"/>
      <x:c r="E17" s="2"/>
      <x:c r="F17" s="2"/>
      <x:c r="G17" s="2"/>
    </x:row>
    <x:row r="18">
      <x:c r="A18" s="2"/>
      <x:c r="B18" s="2"/>
      <x:c r="C18" s="2"/>
      <x:c r="D18" s="2"/>
      <x:c r="E18" s="2"/>
      <x:c r="F18" s="2"/>
      <x:c r="G18" s="2"/>
    </x:row>
  </x:sheetData>
  <x:mergeCells>
    <x:mergeCell ref="A1:G2"/>
  </x:mergeCells>
  <x:conditionalFormatting sqref="G5:G12">
    <x:cfRule type="expression" dxfId="5" priority="1">
      <x:formula>AND(G5&gt;=0,G5&lt;=10)</x:formula>
    </x:cfRule>
    <x:cfRule type="expression" dxfId="6" priority="2">
      <x:formula>AND(G5&gt;10,G5&lt;=45)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44ede5a764a413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10" hidden="0" customWidth="1"/>
    <x:col min="4" max="4" width="18" hidden="0" customWidth="1"/>
    <x:col min="5" max="5" width="12" hidden="0" customWidth="1"/>
    <x:col min="6" max="6" width="16" hidden="0" customWidth="1"/>
    <x:col min="7" max="7" width="9" hidden="0" customWidth="1"/>
    <x:col min="8" max="8" width="8" hidden="0" customWidth="1"/>
    <x:col min="9" max="9" width="16" hidden="0" customWidth="1"/>
    <x:col min="10" max="10" width="16" hidden="0" customWidth="1"/>
    <x:col min="11" max="11" width="14" hidden="0" customWidth="1"/>
    <x:col min="12" max="12" width="11" hidden="0" customWidth="1"/>
    <x:col min="13" max="13" width="12" hidden="0" customWidth="1"/>
    <x:col min="14" max="14" width="10" hidden="0" customWidth="1"/>
    <x:col min="15" max="15" width="10" hidden="0" customWidth="1"/>
    <x:col min="16" max="16" width="10" hidden="0" customWidth="1"/>
    <x:col min="17" max="17" width="10" hidden="0" customWidth="1"/>
    <x:col min="18" max="18" width="11" hidden="0" customWidth="1"/>
    <x:col min="19" max="19" width="10" hidden="0" customWidth="1"/>
    <x:col min="20" max="20" width="12" hidden="0" customWidth="1"/>
    <x:col min="21" max="21" width="16" hidden="0" customWidth="1"/>
    <x:col min="22" max="22" width="9" hidden="0" customWidth="1"/>
    <x:col min="23" max="23" width="18" hidden="0" customWidth="1"/>
    <x:col min="24" max="24" width="14" hidden="0" customWidth="1"/>
    <x:col min="25" max="25" width="13" hidden="0" customWidth="1"/>
    <x:col min="26" max="26" width="15" hidden="0" customWidth="1"/>
    <x:col min="27" max="27" width="12" hidden="0" customWidth="1"/>
    <x:col min="28" max="28" width="11" hidden="0" customWidth="1"/>
    <x:col min="29" max="29" width="11" hidden="0" customWidth="1"/>
    <x:col min="30" max="30" width="12" hidden="0" customWidth="1"/>
    <x:col min="31" max="31" width="14" hidden="0" customWidth="1"/>
    <x:col min="32" max="32" width="10" hidden="0" customWidth="1"/>
    <x:col min="33" max="33" width="18" hidden="0" customWidth="1"/>
    <x:col min="34" max="34" width="18" hidden="0" customWidth="1"/>
  </x:cols>
  <x:sheetData>
    <x:row r="1">
      <x:c r="A1" s="5" t="str">
        <x:v>POSITIONAL ANALYSIS — POSITION MASTER &amp; DECISION LAYER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  <x:c r="AA2" s="5"/>
      <x:c r="AB2" s="5"/>
      <x:c r="AC2" s="5"/>
      <x:c r="AD2" s="5"/>
      <x:c r="AE2" s="5"/>
      <x:c r="AF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</x:row>
    <x:row r="4">
      <x:c r="A4" s="51" t="str">
        <x:v>Trade_ID</x:v>
      </x:c>
      <x:c r="B4" s="51" t="str">
        <x:v>Ticker</x:v>
      </x:c>
      <x:c r="C4" s="51" t="str">
        <x:v>Position</x:v>
      </x:c>
      <x:c r="D4" s="51" t="str">
        <x:v>Structure</x:v>
      </x:c>
      <x:c r="E4" s="51" t="str">
        <x:v>Strategy</x:v>
      </x:c>
      <x:c r="F4" s="51" t="str">
        <x:v>Play</x:v>
      </x:c>
      <x:c r="G4" s="51" t="str">
        <x:v>DTE</x:v>
      </x:c>
      <x:c r="H4" s="51" t="str">
        <x:v>QTY</x:v>
      </x:c>
      <x:c r="I4" s="51" t="str">
        <x:v>Entry_Premium_$</x:v>
      </x:c>
      <x:c r="J4" s="51" t="str">
        <x:v>Current_Value_$</x:v>
      </x:c>
      <x:c r="K4" s="51" t="str">
        <x:v>PnL_$</x:v>
      </x:c>
      <x:c r="L4" s="51" t="str">
        <x:v>PnL_%</x:v>
      </x:c>
      <x:c r="M4" s="51" t="str">
        <x:v>Spot_$</x:v>
      </x:c>
      <x:c r="N4" s="51" t="str">
        <x:v>POP</x:v>
      </x:c>
      <x:c r="O4" s="51" t="str">
        <x:v>IV</x:v>
      </x:c>
      <x:c r="P4" s="51" t="str">
        <x:v>RVOL</x:v>
      </x:c>
      <x:c r="Q4" s="51" t="str">
        <x:v>VRP</x:v>
      </x:c>
      <x:c r="R4" s="51" t="str">
        <x:v>IV_Rank</x:v>
      </x:c>
      <x:c r="S4" s="51" t="str">
        <x:v>Trend</x:v>
      </x:c>
      <x:c r="T4" s="51" t="str">
        <x:v>Net_Delta</x:v>
      </x:c>
      <x:c r="U4" s="51" t="str">
        <x:v>Dollar_Delta_$</x:v>
      </x:c>
      <x:c r="V4" s="51" t="str">
        <x:v>Beta</x:v>
      </x:c>
      <x:c r="W4" s="51" t="str">
        <x:v>BetaAdj_Delta_$</x:v>
      </x:c>
      <x:c r="X4" s="51" t="str">
        <x:v>Theta_$/day</x:v>
      </x:c>
      <x:c r="Y4" s="51" t="str">
        <x:v>Vega_$/pt</x:v>
      </x:c>
      <x:c r="Z4" s="51" t="str">
        <x:v>Gamma_$per1%</x:v>
      </x:c>
      <x:c r="AA4" s="51" t="str">
        <x:v>Factor</x:v>
      </x:c>
      <x:c r="AB4" s="51" t="str">
        <x:v>Event_10d</x:v>
      </x:c>
      <x:c r="AC4" s="51" t="str">
        <x:v>Event_45d</x:v>
      </x:c>
      <x:c r="AD4" s="51" t="str">
        <x:v>ACTION</x:v>
      </x:c>
      <x:c r="AE4" s="51" t="str">
        <x:v>Cut_Score</x:v>
      </x:c>
      <x:c r="AF4" s="51" t="str">
        <x:v>Cut_Rank</x:v>
      </x:c>
      <x:c r="AG4" s="170" t="str">
        <x:v>Abs_Current_Value_$</x:v>
      </x:c>
      <x:c r="AH4" s="170" t="str">
        <x:v>Abs_Dollar_Delta_$</x:v>
      </x:c>
    </x:row>
    <x:row r="5">
      <x:c r="A5" s="110" t="n">
        <x:f>Options_Journal!A5</x:f>
        <x:v>1</x:v>
      </x:c>
      <x:c r="B5" s="110" t="str">
        <x:f>Options_Journal!E5</x:f>
        <x:v>NVDA</x:v>
      </x:c>
      <x:c r="C5" s="110" t="str">
        <x:f>Options_Journal!D5</x:f>
        <x:v>Long</x:v>
      </x:c>
      <x:c r="D5" s="110" t="str">
        <x:f>Options_Journal!F5</x:f>
        <x:v>Vcall(dr)</x:v>
      </x:c>
      <x:c r="E5" s="110" t="str">
        <x:f>Options_Journal!B5</x:f>
        <x:v>Trend</x:v>
      </x:c>
      <x:c r="F5" s="20" t="str">
        <x:f>IF(E5="Hedge","HEDGE",IF(ISNUMBER(SEARCH("Butterfly",D5)),"BUTTERFLY",IF(AND(ISNUMBER(SEARCH("Call",D5)),G5&gt;=250),"LEAP",IF(ISNUMBER(SEARCH("(cr)",D5)),"CREDIT SPREAD",IF(ISNUMBER(SEARCH("(dr)",D5)),"DEBIT SPREAD",UPPER(D5))))))</x:f>
        <x:v>DEBIT SPREAD</x:v>
      </x:c>
      <x:c r="G5" s="110" t="n">
        <x:f>Options_Journal!O5</x:f>
        <x:v>128</x:v>
      </x:c>
      <x:c r="H5" s="110" t="n">
        <x:f>Options_Journal!J5</x:f>
        <x:v>1</x:v>
      </x:c>
      <x:c r="I5" s="112" t="n">
        <x:f>Options_Journal!P5</x:f>
        <x:v>-850</x:v>
      </x:c>
      <x:c r="J5" s="80" t="n">
        <x:f>SUMIFS(Risk_View!$V$5:$V$34,Risk_View!$A$5:$A$34,A5)</x:f>
        <x:v>770</x:v>
      </x:c>
      <x:c r="K5" s="80" t="n">
        <x:f>I5+J5</x:f>
        <x:v>-80</x:v>
      </x:c>
      <x:c r="L5" s="114" t="n">
        <x:f>IFERROR(K5/ABS(I5),"")</x:f>
        <x:v>-0.09411764705882353</x:v>
      </x:c>
      <x:c r="M5" s="112" t="n">
        <x:f>XLOOKUP(B5,Demo_Market_Data!$A$5:$A$13,Demo_Market_Data!$B$5:$B$13)</x:f>
        <x:v>185</x:v>
      </x:c>
      <x:c r="N5" s="116" t="n" cm="1">
        <x:f t="array" ref="N5">IFERROR(IF(Options_Journal!L5="&gt;",NORM.S.DIST(((LN(M5/VALUE(Options_Journal!M5))-(0.5*MAX(O5,0.01)^2*(MAX(G5,1)/365)))/(MAX(O5,0.01)*SQRT((MAX(G5,1)/365)))),TRUE),IF(Options_Journal!L5="&lt;",1-NORM.S.DIST(((LN(M5/VALUE(Options_Journal!M5))-(0.5*MAX(O5,0.01)^2*(MAX(G5,1)/365)))/(MAX(O5,0.01)*SQRT((MAX(G5,1)/365)))),TRUE),IF(Options_Journal!L5=":",NORM.S.DIST(((LN(M5/VALUE(LEFT(Options_Journal!M5,FIND(":",Options_Journal!M5)-1)))-(0.5*MAX(O5,0.01)^2*(MAX(G5,1)/365)))/(MAX(O5,0.01)*SQRT((MAX(G5,1)/365)))),TRUE)-NORM.S.DIST(((LN(M5/VALUE(MID(Options_Journal!M5,FIND(":",Options_Journal!M5)+1,99)))-(0.5*MAX(O5,0.01)^2*(MAX(G5,1)/365)))/(MAX(O5,0.01)*SQRT((MAX(G5,1)/365)))),TRUE),""))),"")</x:f>
        <x:v>0.41819924912638995</x:v>
      </x:c>
      <x:c r="O5" s="116" t="n">
        <x:f>IFERROR(SUMIFS(Risk_View!$Q$5:$Q$34,Risk_View!$A$5:$A$34,A5)/COUNTIFS(Risk_View!$A$5:$A$34,A5,Risk_View!$Q$5:$Q$34,"&gt;0"),0)</x:f>
        <x:v>0.47</x:v>
      </x:c>
      <x:c r="P5" s="117" t="n">
        <x:f>XLOOKUP(B5,Demo_Market_Data!$A$5:$A$13,Demo_Market_Data!$C$5:$C$13)</x:f>
        <x:v>0.45</x:v>
      </x:c>
      <x:c r="Q5" s="116" t="n">
        <x:f>IFERROR(O5/P5-1,0)</x:f>
        <x:v>0.04444444444444429</x:v>
      </x:c>
      <x:c r="R5" s="117" t="n">
        <x:f>XLOOKUP(B5,Demo_Market_Data!$A$5:$A$13,Demo_Market_Data!$D$5:$D$13)</x:f>
        <x:v>0.58</x:v>
      </x:c>
      <x:c r="S5" s="120" t="str">
        <x:f>XLOOKUP(B5,Demo_Market_Data!$A$5:$A$13,Demo_Market_Data!$H$5:$H$13)</x:f>
        <x:v>GREEN</x:v>
      </x:c>
      <x:c r="T5" s="80" t="n">
        <x:f>SUMIFS(Risk_View!$R$5:$R$34,Risk_View!$A$5:$A$34,A5)</x:f>
        <x:v>30</x:v>
      </x:c>
      <x:c r="U5" s="112" t="n">
        <x:f>T5*M5</x:f>
        <x:v>5550</x:v>
      </x:c>
      <x:c r="V5" s="80" t="n">
        <x:f>XLOOKUP(B5,Demo_Market_Data!$A$5:$A$13,Demo_Market_Data!$F$5:$F$13)</x:f>
        <x:v>1.7</x:v>
      </x:c>
      <x:c r="W5" s="80" t="n">
        <x:f>U5*V5</x:f>
        <x:v>9435</x:v>
      </x:c>
      <x:c r="X5" s="80" t="n">
        <x:f>SUMIFS(Risk_View!$S$5:$S$34,Risk_View!$A$5:$A$34,A5)</x:f>
        <x:v>-1.2999999999999998</x:v>
      </x:c>
      <x:c r="Y5" s="80" t="n">
        <x:f>SUMIFS(Risk_View!$T$5:$T$34,Risk_View!$A$5:$A$34,A5)</x:f>
        <x:v>4</x:v>
      </x:c>
      <x:c r="Z5" s="80" t="n">
        <x:f>0.5*SUMIFS(Risk_View!$U$5:$U$34,Risk_View!$A$5:$A$34,A5)*(0.01*M5)^2</x:f>
        <x:v>0.17112500000000017</x:v>
      </x:c>
      <x:c r="AA5" s="110" t="str">
        <x:f>Options_Journal!N5</x:f>
        <x:v>AI</x:v>
      </x:c>
      <x:c r="AB5" s="122" t="b">
        <x:f>COUNTIFS(Event_Dashboard!$B$5:$B$12,B5,Event_Dashboard!$A$5:$A$12,"&gt;="&amp;TODAY(),Event_Dashboard!$A$5:$A$12,"&lt;="&amp;TODAY()+10,Event_Dashboard!$E$5:$E$12,TRUE)&gt;0</x:f>
        <x:v>0</x:v>
      </x:c>
      <x:c r="AC5" s="122" t="b">
        <x:f>COUNTIFS(Event_Dashboard!$B$5:$B$12,B5,Event_Dashboard!$A$5:$A$12,"&gt;="&amp;TODAY(),Event_Dashboard!$A$5:$A$12,"&lt;="&amp;TODAY()+45,Event_Dashboard!$E$5:$E$12,TRUE)&gt;0</x:f>
        <x:v>0</x:v>
      </x:c>
      <x:c r="AD5" s="20" t="str">
        <x:f>IF(AND(I5&lt;0,L5&lt;=-0.5),"CLOSE",IF(AND(I5&gt;0,L5&gt;=0.5),"CLOSE",IF(AND(F5="LEAP",G5&lt;=90),"ROLL",IF(AB5,"CAUTION",IF(AND(F5="LEAP",R5&gt;=0.60,NOT(AC5)),"OVERLAY",IF(AND(S5="RED",I5&lt;0),"WARNING","OK"))))))</x:f>
        <x:v>OK</x:v>
      </x:c>
      <x:c r="AE5" s="80" t="n">
        <x:f>IF(E5="Hedge",0,ABS(J5)*(1-MIN(0.95,MAX(0.05,N5)))*(1+ABS(W5)/CONFIG!$B$5))</x:f>
        <x:v>490.25411182327207</x:v>
      </x:c>
      <x:c r="AF5" s="124" t="n">
        <x:f>IF(AE5=0,"",RANK.EQ(AE5,$AE$5:$AE$14,0))</x:f>
        <x:v>4</x:v>
      </x:c>
      <x:c r="AG5" s="174" t="n">
        <x:f>ABS(J5)</x:f>
        <x:v>770</x:v>
      </x:c>
      <x:c r="AH5" s="174" t="n">
        <x:f>ABS(U5)</x:f>
        <x:v>5550</x:v>
      </x:c>
    </x:row>
    <x:row r="6">
      <x:c r="A6" s="110" t="n">
        <x:f>Options_Journal!A6</x:f>
        <x:v>2</x:v>
      </x:c>
      <x:c r="B6" s="110" t="str">
        <x:f>Options_Journal!E6</x:f>
        <x:v>SPY</x:v>
      </x:c>
      <x:c r="C6" s="110" t="str">
        <x:f>Options_Journal!D6</x:f>
        <x:v>Neutral</x:v>
      </x:c>
      <x:c r="D6" s="110" t="str">
        <x:f>Options_Journal!F6</x:f>
        <x:v>Vput(cr)</x:v>
      </x:c>
      <x:c r="E6" s="110" t="str">
        <x:f>Options_Journal!B6</x:f>
        <x:v>Income</x:v>
      </x:c>
      <x:c r="F6" s="20" t="str">
        <x:f>IF(E6="Hedge","HEDGE",IF(ISNUMBER(SEARCH("Butterfly",D6)),"BUTTERFLY",IF(AND(ISNUMBER(SEARCH("Call",D6)),G6&gt;=250),"LEAP",IF(ISNUMBER(SEARCH("(cr)",D6)),"CREDIT SPREAD",IF(ISNUMBER(SEARCH("(dr)",D6)),"DEBIT SPREAD",UPPER(D6))))))</x:f>
        <x:v>CREDIT SPREAD</x:v>
      </x:c>
      <x:c r="G6" s="110" t="n">
        <x:f>Options_Journal!O6</x:f>
        <x:v>37</x:v>
      </x:c>
      <x:c r="H6" s="110" t="n">
        <x:f>Options_Journal!J6</x:f>
        <x:v>2</x:v>
      </x:c>
      <x:c r="I6" s="112" t="n">
        <x:f>Options_Journal!P6</x:f>
        <x:v>520</x:v>
      </x:c>
      <x:c r="J6" s="80" t="n">
        <x:f>SUMIFS(Risk_View!$V$5:$V$34,Risk_View!$A$5:$A$34,A6)</x:f>
        <x:v>-480</x:v>
      </x:c>
      <x:c r="K6" s="80" t="n">
        <x:f>I6+J6</x:f>
        <x:v>40</x:v>
      </x:c>
      <x:c r="L6" s="114" t="n">
        <x:f>IFERROR(K6/ABS(I6),"")</x:f>
        <x:v>0.07692307692307693</x:v>
      </x:c>
      <x:c r="M6" s="112" t="n">
        <x:f>XLOOKUP(B6,Demo_Market_Data!$A$5:$A$13,Demo_Market_Data!$B$5:$B$13)</x:f>
        <x:v>550</x:v>
      </x:c>
      <x:c r="N6" s="116" t="n" cm="1">
        <x:f t="array" ref="N6">IFERROR(IF(Options_Journal!L6="&gt;",NORM.S.DIST(((LN(M6/VALUE(Options_Journal!M6))-(0.5*MAX(O6,0.01)^2*(MAX(G6,1)/365)))/(MAX(O6,0.01)*SQRT((MAX(G6,1)/365)))),TRUE),IF(Options_Journal!L6="&lt;",1-NORM.S.DIST(((LN(M6/VALUE(Options_Journal!M6))-(0.5*MAX(O6,0.01)^2*(MAX(G6,1)/365)))/(MAX(O6,0.01)*SQRT((MAX(G6,1)/365)))),TRUE),IF(Options_Journal!L6=":",NORM.S.DIST(((LN(M6/VALUE(LEFT(Options_Journal!M6,FIND(":",Options_Journal!M6)-1)))-(0.5*MAX(O6,0.01)^2*(MAX(G6,1)/365)))/(MAX(O6,0.01)*SQRT((MAX(G6,1)/365)))),TRUE)-NORM.S.DIST(((LN(M6/VALUE(MID(Options_Journal!M6,FIND(":",Options_Journal!M6)+1,99)))-(0.5*MAX(O6,0.01)^2*(MAX(G6,1)/365)))/(MAX(O6,0.01)*SQRT((MAX(G6,1)/365)))),TRUE),""))),"")</x:f>
        <x:v>0.6620929398724615</x:v>
      </x:c>
      <x:c r="O6" s="116" t="n">
        <x:f>IFERROR(SUMIFS(Risk_View!$Q$5:$Q$34,Risk_View!$A$5:$A$34,A6)/COUNTIFS(Risk_View!$A$5:$A$34,A6,Risk_View!$Q$5:$Q$34,"&gt;0"),0)</x:f>
        <x:v>0.225</x:v>
      </x:c>
      <x:c r="P6" s="117" t="n">
        <x:f>XLOOKUP(B6,Demo_Market_Data!$A$5:$A$13,Demo_Market_Data!$C$5:$C$13)</x:f>
        <x:v>0.18</x:v>
      </x:c>
      <x:c r="Q6" s="116" t="n">
        <x:f>IFERROR(O6/P6-1,0)</x:f>
        <x:v>0.25</x:v>
      </x:c>
      <x:c r="R6" s="117" t="n">
        <x:f>XLOOKUP(B6,Demo_Market_Data!$A$5:$A$13,Demo_Market_Data!$D$5:$D$13)</x:f>
        <x:v>0.42</x:v>
      </x:c>
      <x:c r="S6" s="120" t="str">
        <x:f>XLOOKUP(B6,Demo_Market_Data!$A$5:$A$13,Demo_Market_Data!$H$5:$H$13)</x:f>
        <x:v>GREEN</x:v>
      </x:c>
      <x:c r="T6" s="80" t="n">
        <x:f>SUMIFS(Risk_View!$R$5:$R$34,Risk_View!$A$5:$A$34,A6)</x:f>
        <x:v>20</x:v>
      </x:c>
      <x:c r="U6" s="112" t="n">
        <x:f>T6*M6</x:f>
        <x:v>11000</x:v>
      </x:c>
      <x:c r="V6" s="80" t="n">
        <x:f>XLOOKUP(B6,Demo_Market_Data!$A$5:$A$13,Demo_Market_Data!$F$5:$F$13)</x:f>
        <x:v>1</x:v>
      </x:c>
      <x:c r="W6" s="80" t="n">
        <x:f>U6*V6</x:f>
        <x:v>11000</x:v>
      </x:c>
      <x:c r="X6" s="80" t="n">
        <x:f>SUMIFS(Risk_View!$S$5:$S$34,Risk_View!$A$5:$A$34,A6)</x:f>
        <x:v>11</x:v>
      </x:c>
      <x:c r="Y6" s="80" t="n">
        <x:f>SUMIFS(Risk_View!$T$5:$T$34,Risk_View!$A$5:$A$34,A6)</x:f>
        <x:v>-10</x:v>
      </x:c>
      <x:c r="Z6" s="80" t="n">
        <x:f>0.5*SUMIFS(Risk_View!$U$5:$U$34,Risk_View!$A$5:$A$34,A6)*(0.01*M6)^2</x:f>
        <x:v>-6.049999999999999</x:v>
      </x:c>
      <x:c r="AA6" s="110" t="str">
        <x:f>Options_Journal!N6</x:f>
        <x:v>INDEX</x:v>
      </x:c>
      <x:c r="AB6" s="122" t="b">
        <x:f>COUNTIFS(Event_Dashboard!$B$5:$B$12,B6,Event_Dashboard!$A$5:$A$12,"&gt;="&amp;TODAY(),Event_Dashboard!$A$5:$A$12,"&lt;="&amp;TODAY()+10,Event_Dashboard!$E$5:$E$12,TRUE)&gt;0</x:f>
        <x:v>0</x:v>
      </x:c>
      <x:c r="AC6" s="122" t="b">
        <x:f>COUNTIFS(Event_Dashboard!$B$5:$B$12,B6,Event_Dashboard!$A$5:$A$12,"&gt;="&amp;TODAY(),Event_Dashboard!$A$5:$A$12,"&lt;="&amp;TODAY()+45,Event_Dashboard!$E$5:$E$12,TRUE)&gt;0</x:f>
        <x:v>0</x:v>
      </x:c>
      <x:c r="AD6" s="20" t="str">
        <x:f>IF(AND(I6&lt;0,L6&lt;=-0.5),"CLOSE",IF(AND(I6&gt;0,L6&gt;=0.5),"CLOSE",IF(AND(F6="LEAP",G6&lt;=90),"ROLL",IF(AB6,"CAUTION",IF(AND(F6="LEAP",R6&gt;=0.60,NOT(AC6)),"OVERLAY",IF(AND(S6="RED",I6&lt;0),"WARNING","OK"))))))</x:f>
        <x:v>OK</x:v>
      </x:c>
      <x:c r="AE6" s="80" t="n">
        <x:f>IF(E6="Hedge",0,ABS(J6)*(1-MIN(0.95,MAX(0.05,N6)))*(1+ABS(W6)/CONFIG!$B$5))</x:f>
        <x:v>180.0368816359525</x:v>
      </x:c>
      <x:c r="AF6" s="124" t="n">
        <x:f>IF(AE6=0,"",RANK.EQ(AE6,$AE$5:$AE$14,0))</x:f>
        <x:v>7</x:v>
      </x:c>
      <x:c r="AG6" s="174" t="n">
        <x:f>ABS(J6)</x:f>
        <x:v>480</x:v>
      </x:c>
      <x:c r="AH6" s="174" t="n">
        <x:f>ABS(U6)</x:f>
        <x:v>11000</x:v>
      </x:c>
    </x:row>
    <x:row r="7">
      <x:c r="A7" s="110" t="n">
        <x:f>Options_Journal!A7</x:f>
        <x:v>3</x:v>
      </x:c>
      <x:c r="B7" s="110" t="str">
        <x:f>Options_Journal!E7</x:f>
        <x:v>IONS</x:v>
      </x:c>
      <x:c r="C7" s="110" t="str">
        <x:f>Options_Journal!D7</x:f>
        <x:v>Long</x:v>
      </x:c>
      <x:c r="D7" s="110" t="str">
        <x:f>Options_Journal!F7</x:f>
        <x:v>Call</x:v>
      </x:c>
      <x:c r="E7" s="110" t="str">
        <x:f>Options_Journal!B7</x:f>
        <x:v>Spec</x:v>
      </x:c>
      <x:c r="F7" s="20" t="str">
        <x:f>IF(E7="Hedge","HEDGE",IF(ISNUMBER(SEARCH("Butterfly",D7)),"BUTTERFLY",IF(AND(ISNUMBER(SEARCH("Call",D7)),G7&gt;=250),"LEAP",IF(ISNUMBER(SEARCH("(cr)",D7)),"CREDIT SPREAD",IF(ISNUMBER(SEARCH("(dr)",D7)),"DEBIT SPREAD",UPPER(D7))))))</x:f>
        <x:v>CALL</x:v>
      </x:c>
      <x:c r="G7" s="110" t="n">
        <x:f>Options_Journal!O7</x:f>
        <x:v>191</x:v>
      </x:c>
      <x:c r="H7" s="110" t="n">
        <x:f>Options_Journal!J7</x:f>
        <x:v>1</x:v>
      </x:c>
      <x:c r="I7" s="112" t="n">
        <x:f>Options_Journal!P7</x:f>
        <x:v>-700</x:v>
      </x:c>
      <x:c r="J7" s="80" t="n">
        <x:f>SUMIFS(Risk_View!$V$5:$V$34,Risk_View!$A$5:$A$34,A7)</x:f>
        <x:v>850</x:v>
      </x:c>
      <x:c r="K7" s="80" t="n">
        <x:f>I7+J7</x:f>
        <x:v>150</x:v>
      </x:c>
      <x:c r="L7" s="114" t="n">
        <x:f>IFERROR(K7/ABS(I7),"")</x:f>
        <x:v>0.21428571428571427</x:v>
      </x:c>
      <x:c r="M7" s="112" t="n">
        <x:f>XLOOKUP(B7,Demo_Market_Data!$A$5:$A$13,Demo_Market_Data!$B$5:$B$13)</x:f>
        <x:v>88</x:v>
      </x:c>
      <x:c r="N7" s="116" t="n" cm="1">
        <x:f t="array" ref="N7">IFERROR(IF(Options_Journal!L7="&gt;",NORM.S.DIST(((LN(M7/VALUE(Options_Journal!M7))-(0.5*MAX(O7,0.01)^2*(MAX(G7,1)/365)))/(MAX(O7,0.01)*SQRT((MAX(G7,1)/365)))),TRUE),IF(Options_Journal!L7="&lt;",1-NORM.S.DIST(((LN(M7/VALUE(Options_Journal!M7))-(0.5*MAX(O7,0.01)^2*(MAX(G7,1)/365)))/(MAX(O7,0.01)*SQRT((MAX(G7,1)/365)))),TRUE),IF(Options_Journal!L7=":",NORM.S.DIST(((LN(M7/VALUE(LEFT(Options_Journal!M7,FIND(":",Options_Journal!M7)-1)))-(0.5*MAX(O7,0.01)^2*(MAX(G7,1)/365)))/(MAX(O7,0.01)*SQRT((MAX(G7,1)/365)))),TRUE)-NORM.S.DIST(((LN(M7/VALUE(MID(Options_Journal!M7,FIND(":",Options_Journal!M7)+1,99)))-(0.5*MAX(O7,0.01)^2*(MAX(G7,1)/365)))/(MAX(O7,0.01)*SQRT((MAX(G7,1)/365)))),TRUE),""))),"")</x:f>
        <x:v>0.32863896213885746</x:v>
      </x:c>
      <x:c r="O7" s="116" t="n">
        <x:f>IFERROR(SUMIFS(Risk_View!$Q$5:$Q$34,Risk_View!$A$5:$A$34,A7)/COUNTIFS(Risk_View!$A$5:$A$34,A7,Risk_View!$Q$5:$Q$34,"&gt;0"),0)</x:f>
        <x:v>0.55</x:v>
      </x:c>
      <x:c r="P7" s="117" t="n">
        <x:f>XLOOKUP(B7,Demo_Market_Data!$A$5:$A$13,Demo_Market_Data!$C$5:$C$13)</x:f>
        <x:v>0.52</x:v>
      </x:c>
      <x:c r="Q7" s="116" t="n">
        <x:f>IFERROR(O7/P7-1,0)</x:f>
        <x:v>0.05769230769230771</x:v>
      </x:c>
      <x:c r="R7" s="117" t="n">
        <x:f>XLOOKUP(B7,Demo_Market_Data!$A$5:$A$13,Demo_Market_Data!$D$5:$D$13)</x:f>
        <x:v>0.68</x:v>
      </x:c>
      <x:c r="S7" s="120" t="str">
        <x:f>XLOOKUP(B7,Demo_Market_Data!$A$5:$A$13,Demo_Market_Data!$H$5:$H$13)</x:f>
        <x:v>YELLOW</x:v>
      </x:c>
      <x:c r="T7" s="80" t="n">
        <x:f>SUMIFS(Risk_View!$R$5:$R$34,Risk_View!$A$5:$A$34,A7)</x:f>
        <x:v>57.99999999999999</x:v>
      </x:c>
      <x:c r="U7" s="112" t="n">
        <x:f>T7*M7</x:f>
        <x:v>5103.999999999999</x:v>
      </x:c>
      <x:c r="V7" s="80" t="n">
        <x:f>XLOOKUP(B7,Demo_Market_Data!$A$5:$A$13,Demo_Market_Data!$F$5:$F$13)</x:f>
        <x:v>0.65</x:v>
      </x:c>
      <x:c r="W7" s="80" t="n">
        <x:f>U7*V7</x:f>
        <x:v>3317.5999999999995</x:v>
      </x:c>
      <x:c r="X7" s="80" t="n">
        <x:f>SUMIFS(Risk_View!$S$5:$S$34,Risk_View!$A$5:$A$34,A7)</x:f>
        <x:v>-3.5000000000000004</x:v>
      </x:c>
      <x:c r="Y7" s="80" t="n">
        <x:f>SUMIFS(Risk_View!$T$5:$T$34,Risk_View!$A$5:$A$34,A7)</x:f>
        <x:v>28.000000000000004</x:v>
      </x:c>
      <x:c r="Z7" s="80" t="n">
        <x:f>0.5*SUMIFS(Risk_View!$U$5:$U$34,Risk_View!$A$5:$A$34,A7)*(0.01*M7)^2</x:f>
        <x:v>0.6969599999999999</x:v>
      </x:c>
      <x:c r="AA7" s="110" t="str">
        <x:f>Options_Journal!N7</x:f>
        <x:v>BIOTECH</x:v>
      </x:c>
      <x:c r="AB7" s="122" t="b">
        <x:f>COUNTIFS(Event_Dashboard!$B$5:$B$12,B7,Event_Dashboard!$A$5:$A$12,"&gt;="&amp;TODAY(),Event_Dashboard!$A$5:$A$12,"&lt;="&amp;TODAY()+10,Event_Dashboard!$E$5:$E$12,TRUE)&gt;0</x:f>
        <x:v>0</x:v>
      </x:c>
      <x:c r="AC7" s="122" t="b">
        <x:f>COUNTIFS(Event_Dashboard!$B$5:$B$12,B7,Event_Dashboard!$A$5:$A$12,"&gt;="&amp;TODAY(),Event_Dashboard!$A$5:$A$12,"&lt;="&amp;TODAY()+45,Event_Dashboard!$E$5:$E$12,TRUE)&gt;0</x:f>
        <x:v>0</x:v>
      </x:c>
      <x:c r="AD7" s="20" t="str">
        <x:f>IF(AND(I7&lt;0,L7&lt;=-0.5),"CLOSE",IF(AND(I7&gt;0,L7&gt;=0.5),"CLOSE",IF(AND(F7="LEAP",G7&lt;=90),"ROLL",IF(AB7,"CAUTION",IF(AND(F7="LEAP",R7&gt;=0.60,NOT(AC7)),"OVERLAY",IF(AND(S7="RED",I7&lt;0),"WARNING","OK"))))))</x:f>
        <x:v>OK</x:v>
      </x:c>
      <x:c r="AE7" s="80" t="n">
        <x:f>IF(E7="Hedge",0,ABS(J7)*(1-MIN(0.95,MAX(0.05,N7)))*(1+ABS(W7)/CONFIG!$B$5))</x:f>
        <x:v>589.5889949052403</x:v>
      </x:c>
      <x:c r="AF7" s="124" t="n">
        <x:f>IF(AE7=0,"",RANK.EQ(AE7,$AE$5:$AE$14,0))</x:f>
        <x:v>3</x:v>
      </x:c>
      <x:c r="AG7" s="174" t="n">
        <x:f>ABS(J7)</x:f>
        <x:v>850</x:v>
      </x:c>
      <x:c r="AH7" s="174" t="n">
        <x:f>ABS(U7)</x:f>
        <x:v>5103.999999999999</x:v>
      </x:c>
    </x:row>
    <x:row r="8">
      <x:c r="A8" s="110" t="n">
        <x:f>Options_Journal!A8</x:f>
        <x:v>4</x:v>
      </x:c>
      <x:c r="B8" s="110" t="str">
        <x:f>Options_Journal!E8</x:f>
        <x:v>IBIT</x:v>
      </x:c>
      <x:c r="C8" s="110" t="str">
        <x:f>Options_Journal!D8</x:f>
        <x:v>Long</x:v>
      </x:c>
      <x:c r="D8" s="110" t="str">
        <x:f>Options_Journal!F8</x:f>
        <x:v>Call</x:v>
      </x:c>
      <x:c r="E8" s="110" t="str">
        <x:f>Options_Journal!B8</x:f>
        <x:v>Macro</x:v>
      </x:c>
      <x:c r="F8" s="20" t="str">
        <x:f>IF(E8="Hedge","HEDGE",IF(ISNUMBER(SEARCH("Butterfly",D8)),"BUTTERFLY",IF(AND(ISNUMBER(SEARCH("Call",D8)),G8&gt;=250),"LEAP",IF(ISNUMBER(SEARCH("(cr)",D8)),"CREDIT SPREAD",IF(ISNUMBER(SEARCH("(dr)",D8)),"DEBIT SPREAD",UPPER(D8))))))</x:f>
        <x:v>LEAP</x:v>
      </x:c>
      <x:c r="G8" s="110" t="n">
        <x:f>Options_Journal!O8</x:f>
        <x:v>282</x:v>
      </x:c>
      <x:c r="H8" s="110" t="n">
        <x:f>Options_Journal!J8</x:f>
        <x:v>1</x:v>
      </x:c>
      <x:c r="I8" s="112" t="n">
        <x:f>Options_Journal!P8</x:f>
        <x:v>-800</x:v>
      </x:c>
      <x:c r="J8" s="80" t="n">
        <x:f>SUMIFS(Risk_View!$V$5:$V$34,Risk_View!$A$5:$A$34,A8)</x:f>
        <x:v>980.0000000000001</x:v>
      </x:c>
      <x:c r="K8" s="80" t="n">
        <x:f>I8+J8</x:f>
        <x:v>180.0000000000001</x:v>
      </x:c>
      <x:c r="L8" s="114" t="n">
        <x:f>IFERROR(K8/ABS(I8),"")</x:f>
        <x:v>0.22500000000000014</x:v>
      </x:c>
      <x:c r="M8" s="112" t="n">
        <x:f>XLOOKUP(B8,Demo_Market_Data!$A$5:$A$13,Demo_Market_Data!$B$5:$B$13)</x:f>
        <x:v>68</x:v>
      </x:c>
      <x:c r="N8" s="116" t="n" cm="1">
        <x:f t="array" ref="N8">IFERROR(IF(Options_Journal!L8="&gt;",NORM.S.DIST(((LN(M8/VALUE(Options_Journal!M8))-(0.5*MAX(O8,0.01)^2*(MAX(G8,1)/365)))/(MAX(O8,0.01)*SQRT((MAX(G8,1)/365)))),TRUE),IF(Options_Journal!L8="&lt;",1-NORM.S.DIST(((LN(M8/VALUE(Options_Journal!M8))-(0.5*MAX(O8,0.01)^2*(MAX(G8,1)/365)))/(MAX(O8,0.01)*SQRT((MAX(G8,1)/365)))),TRUE),IF(Options_Journal!L8=":",NORM.S.DIST(((LN(M8/VALUE(LEFT(Options_Journal!M8,FIND(":",Options_Journal!M8)-1)))-(0.5*MAX(O8,0.01)^2*(MAX(G8,1)/365)))/(MAX(O8,0.01)*SQRT((MAX(G8,1)/365)))),TRUE)-NORM.S.DIST(((LN(M8/VALUE(MID(Options_Journal!M8,FIND(":",Options_Journal!M8)+1,99)))-(0.5*MAX(O8,0.01)^2*(MAX(G8,1)/365)))/(MAX(O8,0.01)*SQRT((MAX(G8,1)/365)))),TRUE),""))),"")</x:f>
        <x:v>0.34359258739513704</x:v>
      </x:c>
      <x:c r="O8" s="116" t="n">
        <x:f>IFERROR(SUMIFS(Risk_View!$Q$5:$Q$34,Risk_View!$A$5:$A$34,A8)/COUNTIFS(Risk_View!$A$5:$A$34,A8,Risk_View!$Q$5:$Q$34,"&gt;0"),0)</x:f>
        <x:v>0.62</x:v>
      </x:c>
      <x:c r="P8" s="117" t="n">
        <x:f>XLOOKUP(B8,Demo_Market_Data!$A$5:$A$13,Demo_Market_Data!$C$5:$C$13)</x:f>
        <x:v>0.58</x:v>
      </x:c>
      <x:c r="Q8" s="116" t="n">
        <x:f>IFERROR(O8/P8-1,0)</x:f>
        <x:v>0.06896551724137945</x:v>
      </x:c>
      <x:c r="R8" s="117" t="n">
        <x:f>XLOOKUP(B8,Demo_Market_Data!$A$5:$A$13,Demo_Market_Data!$D$5:$D$13)</x:f>
        <x:v>0.55</x:v>
      </x:c>
      <x:c r="S8" s="120" t="str">
        <x:f>XLOOKUP(B8,Demo_Market_Data!$A$5:$A$13,Demo_Market_Data!$H$5:$H$13)</x:f>
        <x:v>GREEN</x:v>
      </x:c>
      <x:c r="T8" s="80" t="n">
        <x:f>SUMIFS(Risk_View!$R$5:$R$34,Risk_View!$A$5:$A$34,A8)</x:f>
        <x:v>61</x:v>
      </x:c>
      <x:c r="U8" s="112" t="n">
        <x:f>T8*M8</x:f>
        <x:v>4148</x:v>
      </x:c>
      <x:c r="V8" s="80" t="n">
        <x:f>XLOOKUP(B8,Demo_Market_Data!$A$5:$A$13,Demo_Market_Data!$F$5:$F$13)</x:f>
        <x:v>2</x:v>
      </x:c>
      <x:c r="W8" s="80" t="n">
        <x:f>U8*V8</x:f>
        <x:v>8296</x:v>
      </x:c>
      <x:c r="X8" s="80" t="n">
        <x:f>SUMIFS(Risk_View!$S$5:$S$34,Risk_View!$A$5:$A$34,A8)</x:f>
        <x:v>-2.5</x:v>
      </x:c>
      <x:c r="Y8" s="80" t="n">
        <x:f>SUMIFS(Risk_View!$T$5:$T$34,Risk_View!$A$5:$A$34,A8)</x:f>
        <x:v>31</x:v>
      </x:c>
      <x:c r="Z8" s="80" t="n">
        <x:f>0.5*SUMIFS(Risk_View!$U$5:$U$34,Risk_View!$A$5:$A$34,A8)*(0.01*M8)^2</x:f>
        <x:v>0.3236800000000001</x:v>
      </x:c>
      <x:c r="AA8" s="110" t="str">
        <x:f>Options_Journal!N8</x:f>
        <x:v>CRYPTO</x:v>
      </x:c>
      <x:c r="AB8" s="122" t="b">
        <x:f>COUNTIFS(Event_Dashboard!$B$5:$B$12,B8,Event_Dashboard!$A$5:$A$12,"&gt;="&amp;TODAY(),Event_Dashboard!$A$5:$A$12,"&lt;="&amp;TODAY()+10,Event_Dashboard!$E$5:$E$12,TRUE)&gt;0</x:f>
        <x:v>0</x:v>
      </x:c>
      <x:c r="AC8" s="122" t="b">
        <x:f>COUNTIFS(Event_Dashboard!$B$5:$B$12,B8,Event_Dashboard!$A$5:$A$12,"&gt;="&amp;TODAY(),Event_Dashboard!$A$5:$A$12,"&lt;="&amp;TODAY()+45,Event_Dashboard!$E$5:$E$12,TRUE)&gt;0</x:f>
        <x:v>0</x:v>
      </x:c>
      <x:c r="AD8" s="20" t="str">
        <x:f>IF(AND(I8&lt;0,L8&lt;=-0.5),"CLOSE",IF(AND(I8&gt;0,L8&gt;=0.5),"CLOSE",IF(AND(F8="LEAP",G8&lt;=90),"ROLL",IF(AB8,"CAUTION",IF(AND(F8="LEAP",R8&gt;=0.60,NOT(AC8)),"OVERLAY",IF(AND(S8="RED",I8&lt;0),"WARNING","OK"))))))</x:f>
        <x:v>OK</x:v>
      </x:c>
      <x:c r="AE8" s="80" t="n">
        <x:f>IF(E8="Hedge",0,ABS(J8)*(1-MIN(0.95,MAX(0.05,N8)))*(1+ABS(W8)/CONFIG!$B$5))</x:f>
        <x:v>696.6457121234711</x:v>
      </x:c>
      <x:c r="AF8" s="124" t="n">
        <x:f>IF(AE8=0,"",RANK.EQ(AE8,$AE$5:$AE$14,0))</x:f>
        <x:v>2</x:v>
      </x:c>
      <x:c r="AG8" s="174" t="n">
        <x:f>ABS(J8)</x:f>
        <x:v>980.0000000000001</x:v>
      </x:c>
      <x:c r="AH8" s="174" t="n">
        <x:f>ABS(U8)</x:f>
        <x:v>4148</x:v>
      </x:c>
    </x:row>
    <x:row r="9">
      <x:c r="A9" s="110" t="n">
        <x:f>Options_Journal!A9</x:f>
        <x:v>5</x:v>
      </x:c>
      <x:c r="B9" s="110" t="str">
        <x:f>Options_Journal!E9</x:f>
        <x:v>XLE</x:v>
      </x:c>
      <x:c r="C9" s="110" t="str">
        <x:f>Options_Journal!D9</x:f>
        <x:v>Short</x:v>
      </x:c>
      <x:c r="D9" s="110" t="str">
        <x:f>Options_Journal!F9</x:f>
        <x:v>Vput(dr)</x:v>
      </x:c>
      <x:c r="E9" s="110" t="str">
        <x:f>Options_Journal!B9</x:f>
        <x:v>Macro</x:v>
      </x:c>
      <x:c r="F9" s="20" t="str">
        <x:f>IF(E9="Hedge","HEDGE",IF(ISNUMBER(SEARCH("Butterfly",D9)),"BUTTERFLY",IF(AND(ISNUMBER(SEARCH("Call",D9)),G9&gt;=250),"LEAP",IF(ISNUMBER(SEARCH("(cr)",D9)),"CREDIT SPREAD",IF(ISNUMBER(SEARCH("(dr)",D9)),"DEBIT SPREAD",UPPER(D9))))))</x:f>
        <x:v>DEBIT SPREAD</x:v>
      </x:c>
      <x:c r="G9" s="110" t="n">
        <x:f>Options_Journal!O9</x:f>
        <x:v>100</x:v>
      </x:c>
      <x:c r="H9" s="110" t="n">
        <x:f>Options_Journal!J9</x:f>
        <x:v>2</x:v>
      </x:c>
      <x:c r="I9" s="112" t="n">
        <x:f>Options_Journal!P9</x:f>
        <x:v>-330</x:v>
      </x:c>
      <x:c r="J9" s="80" t="n">
        <x:f>SUMIFS(Risk_View!$V$5:$V$34,Risk_View!$A$5:$A$34,A9)</x:f>
        <x:v>280</x:v>
      </x:c>
      <x:c r="K9" s="80" t="n">
        <x:f>I9+J9</x:f>
        <x:v>-50</x:v>
      </x:c>
      <x:c r="L9" s="114" t="n">
        <x:f>IFERROR(K9/ABS(I9),"")</x:f>
        <x:v>-0.15151515151515152</x:v>
      </x:c>
      <x:c r="M9" s="112" t="n">
        <x:f>XLOOKUP(B9,Demo_Market_Data!$A$5:$A$13,Demo_Market_Data!$B$5:$B$13)</x:f>
        <x:v>88</x:v>
      </x:c>
      <x:c r="N9" s="116" t="n" cm="1">
        <x:f t="array" ref="N9">IFERROR(IF(Options_Journal!L9="&gt;",NORM.S.DIST(((LN(M9/VALUE(Options_Journal!M9))-(0.5*MAX(O9,0.01)^2*(MAX(G9,1)/365)))/(MAX(O9,0.01)*SQRT((MAX(G9,1)/365)))),TRUE),IF(Options_Journal!L9="&lt;",1-NORM.S.DIST(((LN(M9/VALUE(Options_Journal!M9))-(0.5*MAX(O9,0.01)^2*(MAX(G9,1)/365)))/(MAX(O9,0.01)*SQRT((MAX(G9,1)/365)))),TRUE),IF(Options_Journal!L9=":",NORM.S.DIST(((LN(M9/VALUE(LEFT(Options_Journal!M9,FIND(":",Options_Journal!M9)-1)))-(0.5*MAX(O9,0.01)^2*(MAX(G9,1)/365)))/(MAX(O9,0.01)*SQRT((MAX(G9,1)/365)))),TRUE)-NORM.S.DIST(((LN(M9/VALUE(MID(Options_Journal!M9,FIND(":",Options_Journal!M9)+1,99)))-(0.5*MAX(O9,0.01)^2*(MAX(G9,1)/365)))/(MAX(O9,0.01)*SQRT((MAX(G9,1)/365)))),TRUE),""))),"")</x:f>
        <x:v>0.3973412029425717</x:v>
      </x:c>
      <x:c r="O9" s="116" t="n">
        <x:f>IFERROR(SUMIFS(Risk_View!$Q$5:$Q$34,Risk_View!$A$5:$A$34,A9)/COUNTIFS(Risk_View!$A$5:$A$34,A9,Risk_View!$Q$5:$Q$34,"&gt;0"),0)</x:f>
        <x:v>0.305</x:v>
      </x:c>
      <x:c r="P9" s="117" t="n">
        <x:f>XLOOKUP(B9,Demo_Market_Data!$A$5:$A$13,Demo_Market_Data!$C$5:$C$13)</x:f>
        <x:v>0.25</x:v>
      </x:c>
      <x:c r="Q9" s="116" t="n">
        <x:f>IFERROR(O9/P9-1,0)</x:f>
        <x:v>0.21999999999999997</x:v>
      </x:c>
      <x:c r="R9" s="117" t="n">
        <x:f>XLOOKUP(B9,Demo_Market_Data!$A$5:$A$13,Demo_Market_Data!$D$5:$D$13)</x:f>
        <x:v>0.35</x:v>
      </x:c>
      <x:c r="S9" s="120" t="str">
        <x:f>XLOOKUP(B9,Demo_Market_Data!$A$5:$A$13,Demo_Market_Data!$H$5:$H$13)</x:f>
        <x:v>YELLOW</x:v>
      </x:c>
      <x:c r="T9" s="80" t="n">
        <x:f>SUMIFS(Risk_View!$R$5:$R$34,Risk_View!$A$5:$A$34,A9)</x:f>
        <x:v>-28</x:v>
      </x:c>
      <x:c r="U9" s="112" t="n">
        <x:f>T9*M9</x:f>
        <x:v>-2464</x:v>
      </x:c>
      <x:c r="V9" s="80" t="n">
        <x:f>XLOOKUP(B9,Demo_Market_Data!$A$5:$A$13,Demo_Market_Data!$F$5:$F$13)</x:f>
        <x:v>0.9</x:v>
      </x:c>
      <x:c r="W9" s="80" t="n">
        <x:f>U9*V9</x:f>
        <x:v>-2217.6</x:v>
      </x:c>
      <x:c r="X9" s="80" t="n">
        <x:f>SUMIFS(Risk_View!$S$5:$S$34,Risk_View!$A$5:$A$34,A9)</x:f>
        <x:v>-1.4000000000000004</x:v>
      </x:c>
      <x:c r="Y9" s="80" t="n">
        <x:f>SUMIFS(Risk_View!$T$5:$T$34,Risk_View!$A$5:$A$34,A9)</x:f>
        <x:v>4</x:v>
      </x:c>
      <x:c r="Z9" s="80" t="n">
        <x:f>0.5*SUMIFS(Risk_View!$U$5:$U$34,Risk_View!$A$5:$A$34,A9)*(0.01*M9)^2</x:f>
        <x:v>0.4646399999999997</x:v>
      </x:c>
      <x:c r="AA9" s="110" t="str">
        <x:f>Options_Journal!N9</x:f>
        <x:v>ENERGY</x:v>
      </x:c>
      <x:c r="AB9" s="122" t="b">
        <x:f>COUNTIFS(Event_Dashboard!$B$5:$B$12,B9,Event_Dashboard!$A$5:$A$12,"&gt;="&amp;TODAY(),Event_Dashboard!$A$5:$A$12,"&lt;="&amp;TODAY()+10,Event_Dashboard!$E$5:$E$12,TRUE)&gt;0</x:f>
        <x:v>0</x:v>
      </x:c>
      <x:c r="AC9" s="122" t="b">
        <x:f>COUNTIFS(Event_Dashboard!$B$5:$B$12,B9,Event_Dashboard!$A$5:$A$12,"&gt;="&amp;TODAY(),Event_Dashboard!$A$5:$A$12,"&lt;="&amp;TODAY()+45,Event_Dashboard!$E$5:$E$12,TRUE)&gt;0</x:f>
        <x:v>0</x:v>
      </x:c>
      <x:c r="AD9" s="20" t="str">
        <x:f>IF(AND(I9&lt;0,L9&lt;=-0.5),"CLOSE",IF(AND(I9&gt;0,L9&gt;=0.5),"CLOSE",IF(AND(F9="LEAP",G9&lt;=90),"ROLL",IF(AB9,"CAUTION",IF(AND(F9="LEAP",R9&gt;=0.60,NOT(AC9)),"OVERLAY",IF(AND(S9="RED",I9&lt;0),"WARNING","OK"))))))</x:f>
        <x:v>OK</x:v>
      </x:c>
      <x:c r="AE9" s="80" t="n">
        <x:f>IF(E9="Hedge",0,ABS(J9)*(1-MIN(0.95,MAX(0.05,N9)))*(1+ABS(W9)/CONFIG!$B$5))</x:f>
        <x:v>172.4865403914727</x:v>
      </x:c>
      <x:c r="AF9" s="124" t="n">
        <x:f>IF(AE9=0,"",RANK.EQ(AE9,$AE$5:$AE$14,0))</x:f>
        <x:v>8</x:v>
      </x:c>
      <x:c r="AG9" s="174" t="n">
        <x:f>ABS(J9)</x:f>
        <x:v>280</x:v>
      </x:c>
      <x:c r="AH9" s="174" t="n">
        <x:f>ABS(U9)</x:f>
        <x:v>2464</x:v>
      </x:c>
    </x:row>
    <x:row r="10">
      <x:c r="A10" s="110" t="n">
        <x:f>Options_Journal!A10</x:f>
        <x:v>6</x:v>
      </x:c>
      <x:c r="B10" s="110" t="str">
        <x:f>Options_Journal!E10</x:f>
        <x:v>QQQ</x:v>
      </x:c>
      <x:c r="C10" s="110" t="str">
        <x:f>Options_Journal!D10</x:f>
        <x:v>Short</x:v>
      </x:c>
      <x:c r="D10" s="110" t="str">
        <x:f>Options_Journal!F10</x:f>
        <x:v>Vcall(cr)</x:v>
      </x:c>
      <x:c r="E10" s="110" t="str">
        <x:f>Options_Journal!B10</x:f>
        <x:v>Income</x:v>
      </x:c>
      <x:c r="F10" s="20" t="str">
        <x:f>IF(E10="Hedge","HEDGE",IF(ISNUMBER(SEARCH("Butterfly",D10)),"BUTTERFLY",IF(AND(ISNUMBER(SEARCH("Call",D10)),G10&gt;=250),"LEAP",IF(ISNUMBER(SEARCH("(cr)",D10)),"CREDIT SPREAD",IF(ISNUMBER(SEARCH("(dr)",D10)),"DEBIT SPREAD",UPPER(D10))))))</x:f>
        <x:v>CREDIT SPREAD</x:v>
      </x:c>
      <x:c r="G10" s="110" t="n">
        <x:f>Options_Journal!O10</x:f>
        <x:v>51</x:v>
      </x:c>
      <x:c r="H10" s="110" t="n">
        <x:f>Options_Journal!J10</x:f>
        <x:v>1</x:v>
      </x:c>
      <x:c r="I10" s="112" t="n">
        <x:f>Options_Journal!P10</x:f>
        <x:v>235</x:v>
      </x:c>
      <x:c r="J10" s="80" t="n">
        <x:f>SUMIFS(Risk_View!$V$5:$V$34,Risk_View!$A$5:$A$34,A10)</x:f>
        <x:v>-210</x:v>
      </x:c>
      <x:c r="K10" s="80" t="n">
        <x:f>I10+J10</x:f>
        <x:v>25</x:v>
      </x:c>
      <x:c r="L10" s="114" t="n">
        <x:f>IFERROR(K10/ABS(I10),"")</x:f>
        <x:v>0.10638297872340426</x:v>
      </x:c>
      <x:c r="M10" s="112" t="n">
        <x:f>XLOOKUP(B10,Demo_Market_Data!$A$5:$A$13,Demo_Market_Data!$B$5:$B$13)</x:f>
        <x:v>575</x:v>
      </x:c>
      <x:c r="N10" s="116" t="n" cm="1">
        <x:f t="array" ref="N10">IFERROR(IF(Options_Journal!L10="&gt;",NORM.S.DIST(((LN(M10/VALUE(Options_Journal!M10))-(0.5*MAX(O10,0.01)^2*(MAX(G10,1)/365)))/(MAX(O10,0.01)*SQRT((MAX(G10,1)/365)))),TRUE),IF(Options_Journal!L10="&lt;",1-NORM.S.DIST(((LN(M10/VALUE(Options_Journal!M10))-(0.5*MAX(O10,0.01)^2*(MAX(G10,1)/365)))/(MAX(O10,0.01)*SQRT((MAX(G10,1)/365)))),TRUE),IF(Options_Journal!L10=":",NORM.S.DIST(((LN(M10/VALUE(LEFT(Options_Journal!M10,FIND(":",Options_Journal!M10)-1)))-(0.5*MAX(O10,0.01)^2*(MAX(G10,1)/365)))/(MAX(O10,0.01)*SQRT((MAX(G10,1)/365)))),TRUE)-NORM.S.DIST(((LN(M10/VALUE(MID(Options_Journal!M10,FIND(":",Options_Journal!M10)+1,99)))-(0.5*MAX(O10,0.01)^2*(MAX(G10,1)/365)))/(MAX(O10,0.01)*SQRT((MAX(G10,1)/365)))),TRUE),""))),"")</x:f>
        <x:v>0.6404025973334617</x:v>
      </x:c>
      <x:c r="O10" s="116" t="n">
        <x:f>IFERROR(SUMIFS(Risk_View!$Q$5:$Q$34,Risk_View!$A$5:$A$34,A10)/COUNTIFS(Risk_View!$A$5:$A$34,A10,Risk_View!$Q$5:$Q$34,"&gt;0"),0)</x:f>
        <x:v>0.255</x:v>
      </x:c>
      <x:c r="P10" s="117" t="n">
        <x:f>XLOOKUP(B10,Demo_Market_Data!$A$5:$A$13,Demo_Market_Data!$C$5:$C$13)</x:f>
        <x:v>0.22</x:v>
      </x:c>
      <x:c r="Q10" s="116" t="n">
        <x:f>IFERROR(O10/P10-1,0)</x:f>
        <x:v>0.15909090909090917</x:v>
      </x:c>
      <x:c r="R10" s="117" t="n">
        <x:f>XLOOKUP(B10,Demo_Market_Data!$A$5:$A$13,Demo_Market_Data!$D$5:$D$13)</x:f>
        <x:v>0.48</x:v>
      </x:c>
      <x:c r="S10" s="120" t="str">
        <x:f>XLOOKUP(B10,Demo_Market_Data!$A$5:$A$13,Demo_Market_Data!$H$5:$H$13)</x:f>
        <x:v>RED</x:v>
      </x:c>
      <x:c r="T10" s="80" t="n">
        <x:f>SUMIFS(Risk_View!$R$5:$R$34,Risk_View!$A$5:$A$34,A10)</x:f>
        <x:v>-12</x:v>
      </x:c>
      <x:c r="U10" s="112" t="n">
        <x:f>T10*M10</x:f>
        <x:v>-6900</x:v>
      </x:c>
      <x:c r="V10" s="80" t="n">
        <x:f>XLOOKUP(B10,Demo_Market_Data!$A$5:$A$13,Demo_Market_Data!$F$5:$F$13)</x:f>
        <x:v>1.2</x:v>
      </x:c>
      <x:c r="W10" s="80" t="n">
        <x:f>U10*V10</x:f>
        <x:v>-8280</x:v>
      </x:c>
      <x:c r="X10" s="80" t="n">
        <x:f>SUMIFS(Risk_View!$S$5:$S$34,Risk_View!$A$5:$A$34,A10)</x:f>
        <x:v>2.5</x:v>
      </x:c>
      <x:c r="Y10" s="80" t="n">
        <x:f>SUMIFS(Risk_View!$T$5:$T$34,Risk_View!$A$5:$A$34,A10)</x:f>
        <x:v>-3.9999999999999982</x:v>
      </x:c>
      <x:c r="Z10" s="80" t="n">
        <x:f>0.5*SUMIFS(Risk_View!$U$5:$U$34,Risk_View!$A$5:$A$34,A10)*(0.01*M10)^2</x:f>
        <x:v>-3.3062499999999972</x:v>
      </x:c>
      <x:c r="AA10" s="110" t="str">
        <x:f>Options_Journal!N10</x:f>
        <x:v>INDEX</x:v>
      </x:c>
      <x:c r="AB10" s="122" t="b">
        <x:f>COUNTIFS(Event_Dashboard!$B$5:$B$12,B10,Event_Dashboard!$A$5:$A$12,"&gt;="&amp;TODAY(),Event_Dashboard!$A$5:$A$12,"&lt;="&amp;TODAY()+10,Event_Dashboard!$E$5:$E$12,TRUE)&gt;0</x:f>
        <x:v>0</x:v>
      </x:c>
      <x:c r="AC10" s="122" t="b">
        <x:f>COUNTIFS(Event_Dashboard!$B$5:$B$12,B10,Event_Dashboard!$A$5:$A$12,"&gt;="&amp;TODAY(),Event_Dashboard!$A$5:$A$12,"&lt;="&amp;TODAY()+45,Event_Dashboard!$E$5:$E$12,TRUE)&gt;0</x:f>
        <x:v>0</x:v>
      </x:c>
      <x:c r="AD10" s="20" t="str">
        <x:f>IF(AND(I10&lt;0,L10&lt;=-0.5),"CLOSE",IF(AND(I10&gt;0,L10&gt;=0.5),"CLOSE",IF(AND(F10="LEAP",G10&lt;=90),"ROLL",IF(AB10,"CAUTION",IF(AND(F10="LEAP",R10&gt;=0.60,NOT(AC10)),"OVERLAY",IF(AND(S10="RED",I10&lt;0),"WARNING","OK"))))))</x:f>
        <x:v>OK</x:v>
      </x:c>
      <x:c r="AE10" s="80" t="n">
        <x:f>IF(E10="Hedge",0,ABS(J10)*(1-MIN(0.95,MAX(0.05,N10)))*(1+ABS(W10)/CONFIG!$B$5))</x:f>
        <x:v>81.7681341975388</x:v>
      </x:c>
      <x:c r="AF10" s="124" t="n">
        <x:f>IF(AE10=0,"",RANK.EQ(AE10,$AE$5:$AE$14,0))</x:f>
        <x:v>9</x:v>
      </x:c>
      <x:c r="AG10" s="174" t="n">
        <x:f>ABS(J10)</x:f>
        <x:v>210</x:v>
      </x:c>
      <x:c r="AH10" s="174" t="n">
        <x:f>ABS(U10)</x:f>
        <x:v>6900</x:v>
      </x:c>
    </x:row>
    <x:row r="11">
      <x:c r="A11" s="110" t="n">
        <x:f>Options_Journal!A11</x:f>
        <x:v>7</x:v>
      </x:c>
      <x:c r="B11" s="110" t="str">
        <x:f>Options_Journal!E11</x:f>
        <x:v>SPY</x:v>
      </x:c>
      <x:c r="C11" s="110" t="str">
        <x:f>Options_Journal!D11</x:f>
        <x:v>Short</x:v>
      </x:c>
      <x:c r="D11" s="110" t="str">
        <x:f>Options_Journal!F11</x:f>
        <x:v>Put</x:v>
      </x:c>
      <x:c r="E11" s="110" t="str">
        <x:f>Options_Journal!B11</x:f>
        <x:v>Hedge</x:v>
      </x:c>
      <x:c r="F11" s="20" t="str">
        <x:f>IF(E11="Hedge","HEDGE",IF(ISNUMBER(SEARCH("Butterfly",D11)),"BUTTERFLY",IF(AND(ISNUMBER(SEARCH("Call",D11)),G11&gt;=250),"LEAP",IF(ISNUMBER(SEARCH("(cr)",D11)),"CREDIT SPREAD",IF(ISNUMBER(SEARCH("(dr)",D11)),"DEBIT SPREAD",UPPER(D11))))))</x:f>
        <x:v>HEDGE</x:v>
      </x:c>
      <x:c r="G11" s="110" t="n">
        <x:f>Options_Journal!O11</x:f>
        <x:v>72</x:v>
      </x:c>
      <x:c r="H11" s="110" t="n">
        <x:f>Options_Journal!J11</x:f>
        <x:v>2</x:v>
      </x:c>
      <x:c r="I11" s="112" t="n">
        <x:f>Options_Journal!P11</x:f>
        <x:v>-600</x:v>
      </x:c>
      <x:c r="J11" s="80" t="n">
        <x:f>SUMIFS(Risk_View!$V$5:$V$34,Risk_View!$A$5:$A$34,A11)</x:f>
        <x:v>500</x:v>
      </x:c>
      <x:c r="K11" s="80" t="n">
        <x:f>I11+J11</x:f>
        <x:v>-100</x:v>
      </x:c>
      <x:c r="L11" s="114" t="n">
        <x:f>IFERROR(K11/ABS(I11),"")</x:f>
        <x:v>-0.16666666666666666</x:v>
      </x:c>
      <x:c r="M11" s="112" t="n">
        <x:f>XLOOKUP(B11,Demo_Market_Data!$A$5:$A$13,Demo_Market_Data!$B$5:$B$13)</x:f>
        <x:v>550</x:v>
      </x:c>
      <x:c r="N11" s="116" t="n" cm="1">
        <x:f t="array" ref="N11">IFERROR(IF(Options_Journal!L11="&gt;",NORM.S.DIST(((LN(M11/VALUE(Options_Journal!M11))-(0.5*MAX(O11,0.01)^2*(MAX(G11,1)/365)))/(MAX(O11,0.01)*SQRT((MAX(G11,1)/365)))),TRUE),IF(Options_Journal!L11="&lt;",1-NORM.S.DIST(((LN(M11/VALUE(Options_Journal!M11))-(0.5*MAX(O11,0.01)^2*(MAX(G11,1)/365)))/(MAX(O11,0.01)*SQRT((MAX(G11,1)/365)))),TRUE),IF(Options_Journal!L11=":",NORM.S.DIST(((LN(M11/VALUE(LEFT(Options_Journal!M11,FIND(":",Options_Journal!M11)-1)))-(0.5*MAX(O11,0.01)^2*(MAX(G11,1)/365)))/(MAX(O11,0.01)*SQRT((MAX(G11,1)/365)))),TRUE)-NORM.S.DIST(((LN(M11/VALUE(MID(Options_Journal!M11,FIND(":",Options_Journal!M11)+1,99)))-(0.5*MAX(O11,0.01)^2*(MAX(G11,1)/365)))/(MAX(O11,0.01)*SQRT((MAX(G11,1)/365)))),TRUE),""))),"")</x:f>
        <x:v>0.29903331068631755</x:v>
      </x:c>
      <x:c r="O11" s="116" t="n">
        <x:f>IFERROR(SUMIFS(Risk_View!$Q$5:$Q$34,Risk_View!$A$5:$A$34,A11)/COUNTIFS(Risk_View!$A$5:$A$34,A11,Risk_View!$Q$5:$Q$34,"&gt;0"),0)</x:f>
        <x:v>0.24</x:v>
      </x:c>
      <x:c r="P11" s="117" t="n">
        <x:f>XLOOKUP(B11,Demo_Market_Data!$A$5:$A$13,Demo_Market_Data!$C$5:$C$13)</x:f>
        <x:v>0.18</x:v>
      </x:c>
      <x:c r="Q11" s="116" t="n">
        <x:f>IFERROR(O11/P11-1,0)</x:f>
        <x:v>0.33333333333333326</x:v>
      </x:c>
      <x:c r="R11" s="117" t="n">
        <x:f>XLOOKUP(B11,Demo_Market_Data!$A$5:$A$13,Demo_Market_Data!$D$5:$D$13)</x:f>
        <x:v>0.42</x:v>
      </x:c>
      <x:c r="S11" s="120" t="str">
        <x:f>XLOOKUP(B11,Demo_Market_Data!$A$5:$A$13,Demo_Market_Data!$H$5:$H$13)</x:f>
        <x:v>GREEN</x:v>
      </x:c>
      <x:c r="T11" s="80" t="n">
        <x:f>SUMIFS(Risk_View!$R$5:$R$34,Risk_View!$A$5:$A$34,A11)</x:f>
        <x:v>-36</x:v>
      </x:c>
      <x:c r="U11" s="112" t="n">
        <x:f>T11*M11</x:f>
        <x:v>-19800</x:v>
      </x:c>
      <x:c r="V11" s="80" t="n">
        <x:f>XLOOKUP(B11,Demo_Market_Data!$A$5:$A$13,Demo_Market_Data!$F$5:$F$13)</x:f>
        <x:v>1</x:v>
      </x:c>
      <x:c r="W11" s="80" t="n">
        <x:f>U11*V11</x:f>
        <x:v>-19800</x:v>
      </x:c>
      <x:c r="X11" s="80" t="n">
        <x:f>SUMIFS(Risk_View!$S$5:$S$34,Risk_View!$A$5:$A$34,A11)</x:f>
        <x:v>-12</x:v>
      </x:c>
      <x:c r="Y11" s="80" t="n">
        <x:f>SUMIFS(Risk_View!$T$5:$T$34,Risk_View!$A$5:$A$34,A11)</x:f>
        <x:v>38</x:v>
      </x:c>
      <x:c r="Z11" s="80" t="n">
        <x:f>0.5*SUMIFS(Risk_View!$U$5:$U$34,Risk_View!$A$5:$A$34,A11)*(0.01*M11)^2</x:f>
        <x:v>27.224999999999998</x:v>
      </x:c>
      <x:c r="AA11" s="110" t="str">
        <x:f>Options_Journal!N11</x:f>
        <x:v>HEDGE</x:v>
      </x:c>
      <x:c r="AB11" s="122" t="b">
        <x:f>COUNTIFS(Event_Dashboard!$B$5:$B$12,B11,Event_Dashboard!$A$5:$A$12,"&gt;="&amp;TODAY(),Event_Dashboard!$A$5:$A$12,"&lt;="&amp;TODAY()+10,Event_Dashboard!$E$5:$E$12,TRUE)&gt;0</x:f>
        <x:v>0</x:v>
      </x:c>
      <x:c r="AC11" s="122" t="b">
        <x:f>COUNTIFS(Event_Dashboard!$B$5:$B$12,B11,Event_Dashboard!$A$5:$A$12,"&gt;="&amp;TODAY(),Event_Dashboard!$A$5:$A$12,"&lt;="&amp;TODAY()+45,Event_Dashboard!$E$5:$E$12,TRUE)&gt;0</x:f>
        <x:v>0</x:v>
      </x:c>
      <x:c r="AD11" s="20" t="str">
        <x:f>IF(AND(I11&lt;0,L11&lt;=-0.5),"CLOSE",IF(AND(I11&gt;0,L11&gt;=0.5),"CLOSE",IF(AND(F11="LEAP",G11&lt;=90),"ROLL",IF(AB11,"CAUTION",IF(AND(F11="LEAP",R11&gt;=0.60,NOT(AC11)),"OVERLAY",IF(AND(S11="RED",I11&lt;0),"WARNING","OK"))))))</x:f>
        <x:v>OK</x:v>
      </x:c>
      <x:c r="AE11" s="80" t="n">
        <x:f>IF(E11="Hedge",0,ABS(J11)*(1-MIN(0.95,MAX(0.05,N11)))*(1+ABS(W11)/CONFIG!$B$5))</x:f>
        <x:v>0</x:v>
      </x:c>
      <x:c r="AF11" s="124" t="str">
        <x:f>IF(AE11=0,"",RANK.EQ(AE11,$AE$5:$AE$14,0))</x:f>
      </x:c>
      <x:c r="AG11" s="174" t="n">
        <x:f>ABS(J11)</x:f>
        <x:v>500</x:v>
      </x:c>
      <x:c r="AH11" s="174" t="n">
        <x:f>ABS(U11)</x:f>
        <x:v>19800</x:v>
      </x:c>
    </x:row>
    <x:row r="12">
      <x:c r="A12" s="110" t="n">
        <x:f>Options_Journal!A12</x:f>
        <x:v>8</x:v>
      </x:c>
      <x:c r="B12" s="110" t="str">
        <x:f>Options_Journal!E12</x:f>
        <x:v>VST</x:v>
      </x:c>
      <x:c r="C12" s="110" t="str">
        <x:f>Options_Journal!D12</x:f>
        <x:v>Long</x:v>
      </x:c>
      <x:c r="D12" s="110" t="str">
        <x:f>Options_Journal!F12</x:f>
        <x:v>Vcall(dr)</x:v>
      </x:c>
      <x:c r="E12" s="110" t="str">
        <x:f>Options_Journal!B12</x:f>
        <x:v>Trend</x:v>
      </x:c>
      <x:c r="F12" s="20" t="str">
        <x:f>IF(E12="Hedge","HEDGE",IF(ISNUMBER(SEARCH("Butterfly",D12)),"BUTTERFLY",IF(AND(ISNUMBER(SEARCH("Call",D12)),G12&gt;=250),"LEAP",IF(ISNUMBER(SEARCH("(cr)",D12)),"CREDIT SPREAD",IF(ISNUMBER(SEARCH("(dr)",D12)),"DEBIT SPREAD",UPPER(D12))))))</x:f>
        <x:v>DEBIT SPREAD</x:v>
      </x:c>
      <x:c r="G12" s="110" t="n">
        <x:f>Options_Journal!O12</x:f>
        <x:v>163</x:v>
      </x:c>
      <x:c r="H12" s="110" t="n">
        <x:f>Options_Journal!J12</x:f>
        <x:v>1</x:v>
      </x:c>
      <x:c r="I12" s="112" t="n">
        <x:f>Options_Journal!P12</x:f>
        <x:v>-700</x:v>
      </x:c>
      <x:c r="J12" s="80" t="n">
        <x:f>SUMIFS(Risk_View!$V$5:$V$34,Risk_View!$A$5:$A$34,A12)</x:f>
        <x:v>620</x:v>
      </x:c>
      <x:c r="K12" s="80" t="n">
        <x:f>I12+J12</x:f>
        <x:v>-80</x:v>
      </x:c>
      <x:c r="L12" s="114" t="n">
        <x:f>IFERROR(K12/ABS(I12),"")</x:f>
        <x:v>-0.11428571428571428</x:v>
      </x:c>
      <x:c r="M12" s="112" t="n">
        <x:f>XLOOKUP(B12,Demo_Market_Data!$A$5:$A$13,Demo_Market_Data!$B$5:$B$13)</x:f>
        <x:v>218</x:v>
      </x:c>
      <x:c r="N12" s="116" t="n" cm="1">
        <x:f t="array" ref="N12">IFERROR(IF(Options_Journal!L12="&gt;",NORM.S.DIST(((LN(M12/VALUE(Options_Journal!M12))-(0.5*MAX(O12,0.01)^2*(MAX(G12,1)/365)))/(MAX(O12,0.01)*SQRT((MAX(G12,1)/365)))),TRUE),IF(Options_Journal!L12="&lt;",1-NORM.S.DIST(((LN(M12/VALUE(Options_Journal!M12))-(0.5*MAX(O12,0.01)^2*(MAX(G12,1)/365)))/(MAX(O12,0.01)*SQRT((MAX(G12,1)/365)))),TRUE),IF(Options_Journal!L12=":",NORM.S.DIST(((LN(M12/VALUE(LEFT(Options_Journal!M12,FIND(":",Options_Journal!M12)-1)))-(0.5*MAX(O12,0.01)^2*(MAX(G12,1)/365)))/(MAX(O12,0.01)*SQRT((MAX(G12,1)/365)))),TRUE)-NORM.S.DIST(((LN(M12/VALUE(MID(Options_Journal!M12,FIND(":",Options_Journal!M12)+1,99)))-(0.5*MAX(O12,0.01)^2*(MAX(G12,1)/365)))/(MAX(O12,0.01)*SQRT((MAX(G12,1)/365)))),TRUE),""))),"")</x:f>
        <x:v>0.45141544391652844</x:v>
      </x:c>
      <x:c r="O12" s="116" t="n">
        <x:f>IFERROR(SUMIFS(Risk_View!$Q$5:$Q$34,Risk_View!$A$5:$A$34,A12)/COUNTIFS(Risk_View!$A$5:$A$34,A12,Risk_View!$Q$5:$Q$34,"&gt;0"),0)</x:f>
        <x:v>0.415</x:v>
      </x:c>
      <x:c r="P12" s="117" t="n">
        <x:f>XLOOKUP(B12,Demo_Market_Data!$A$5:$A$13,Demo_Market_Data!$C$5:$C$13)</x:f>
        <x:v>0.38</x:v>
      </x:c>
      <x:c r="Q12" s="116" t="n">
        <x:f>IFERROR(O12/P12-1,0)</x:f>
        <x:v>0.09210526315789469</x:v>
      </x:c>
      <x:c r="R12" s="117" t="n">
        <x:f>XLOOKUP(B12,Demo_Market_Data!$A$5:$A$13,Demo_Market_Data!$D$5:$D$13)</x:f>
        <x:v>0.62</x:v>
      </x:c>
      <x:c r="S12" s="120" t="str">
        <x:f>XLOOKUP(B12,Demo_Market_Data!$A$5:$A$13,Demo_Market_Data!$H$5:$H$13)</x:f>
        <x:v>GREEN</x:v>
      </x:c>
      <x:c r="T12" s="80" t="n">
        <x:f>SUMIFS(Risk_View!$R$5:$R$34,Risk_View!$A$5:$A$34,A12)</x:f>
        <x:v>25</x:v>
      </x:c>
      <x:c r="U12" s="112" t="n">
        <x:f>T12*M12</x:f>
        <x:v>5450</x:v>
      </x:c>
      <x:c r="V12" s="80" t="n">
        <x:f>XLOOKUP(B12,Demo_Market_Data!$A$5:$A$13,Demo_Market_Data!$F$5:$F$13)</x:f>
        <x:v>0.8</x:v>
      </x:c>
      <x:c r="W12" s="80" t="n">
        <x:f>U12*V12</x:f>
        <x:v>4360</x:v>
      </x:c>
      <x:c r="X12" s="80" t="n">
        <x:f>SUMIFS(Risk_View!$S$5:$S$34,Risk_View!$A$5:$A$34,A12)</x:f>
        <x:v>-0.5999999999999996</x:v>
      </x:c>
      <x:c r="Y12" s="80" t="n">
        <x:f>SUMIFS(Risk_View!$T$5:$T$34,Risk_View!$A$5:$A$34,A12)</x:f>
        <x:v>3</x:v>
      </x:c>
      <x:c r="Z12" s="80" t="n">
        <x:f>0.5*SUMIFS(Risk_View!$U$5:$U$34,Risk_View!$A$5:$A$34,A12)*(0.01*M12)^2</x:f>
        <x:v>0.23762000000000025</x:v>
      </x:c>
      <x:c r="AA12" s="110" t="str">
        <x:f>Options_Journal!N12</x:f>
        <x:v>ENERGY</x:v>
      </x:c>
      <x:c r="AB12" s="122" t="b">
        <x:f>COUNTIFS(Event_Dashboard!$B$5:$B$12,B12,Event_Dashboard!$A$5:$A$12,"&gt;="&amp;TODAY(),Event_Dashboard!$A$5:$A$12,"&lt;="&amp;TODAY()+10,Event_Dashboard!$E$5:$E$12,TRUE)&gt;0</x:f>
        <x:v>0</x:v>
      </x:c>
      <x:c r="AC12" s="122" t="b">
        <x:f>COUNTIFS(Event_Dashboard!$B$5:$B$12,B12,Event_Dashboard!$A$5:$A$12,"&gt;="&amp;TODAY(),Event_Dashboard!$A$5:$A$12,"&lt;="&amp;TODAY()+45,Event_Dashboard!$E$5:$E$12,TRUE)&gt;0</x:f>
        <x:v>0</x:v>
      </x:c>
      <x:c r="AD12" s="20" t="str">
        <x:f>IF(AND(I12&lt;0,L12&lt;=-0.5),"CLOSE",IF(AND(I12&gt;0,L12&gt;=0.5),"CLOSE",IF(AND(F12="LEAP",G12&lt;=90),"ROLL",IF(AB12,"CAUTION",IF(AND(F12="LEAP",R12&gt;=0.60,NOT(AC12)),"OVERLAY",IF(AND(S12="RED",I12&lt;0),"WARNING","OK"))))))</x:f>
        <x:v>OK</x:v>
      </x:c>
      <x:c r="AE12" s="80" t="n">
        <x:f>IF(E12="Hedge",0,ABS(J12)*(1-MIN(0.95,MAX(0.05,N12)))*(1+ABS(W12)/CONFIG!$B$5))</x:f>
        <x:v>354.9517624918008</x:v>
      </x:c>
      <x:c r="AF12" s="124" t="n">
        <x:f>IF(AE12=0,"",RANK.EQ(AE12,$AE$5:$AE$14,0))</x:f>
        <x:v>5</x:v>
      </x:c>
      <x:c r="AG12" s="174" t="n">
        <x:f>ABS(J12)</x:f>
        <x:v>620</x:v>
      </x:c>
      <x:c r="AH12" s="174" t="n">
        <x:f>ABS(U12)</x:f>
        <x:v>5450</x:v>
      </x:c>
    </x:row>
    <x:row r="13">
      <x:c r="A13" s="110" t="n">
        <x:f>Options_Journal!A13</x:f>
        <x:v>9</x:v>
      </x:c>
      <x:c r="B13" s="110" t="str">
        <x:f>Options_Journal!E13</x:f>
        <x:v>UBER</x:v>
      </x:c>
      <x:c r="C13" s="110" t="str">
        <x:f>Options_Journal!D13</x:f>
        <x:v>Long</x:v>
      </x:c>
      <x:c r="D13" s="110" t="str">
        <x:f>Options_Journal!F13</x:f>
        <x:v>Call</x:v>
      </x:c>
      <x:c r="E13" s="110" t="str">
        <x:f>Options_Journal!B13</x:f>
        <x:v>Leap</x:v>
      </x:c>
      <x:c r="F13" s="20" t="str">
        <x:f>IF(E13="Hedge","HEDGE",IF(ISNUMBER(SEARCH("Butterfly",D13)),"BUTTERFLY",IF(AND(ISNUMBER(SEARCH("Call",D13)),G13&gt;=250),"LEAP",IF(ISNUMBER(SEARCH("(cr)",D13)),"CREDIT SPREAD",IF(ISNUMBER(SEARCH("(dr)",D13)),"DEBIT SPREAD",UPPER(D13))))))</x:f>
        <x:v>LEAP</x:v>
      </x:c>
      <x:c r="G13" s="110" t="n">
        <x:f>Options_Journal!O13</x:f>
        <x:v>373</x:v>
      </x:c>
      <x:c r="H13" s="110" t="n">
        <x:f>Options_Journal!J13</x:f>
        <x:v>1</x:v>
      </x:c>
      <x:c r="I13" s="112" t="n">
        <x:f>Options_Journal!P13</x:f>
        <x:v>-1400</x:v>
      </x:c>
      <x:c r="J13" s="80" t="n">
        <x:f>SUMIFS(Risk_View!$V$5:$V$34,Risk_View!$A$5:$A$34,A13)</x:f>
        <x:v>1580</x:v>
      </x:c>
      <x:c r="K13" s="80" t="n">
        <x:f>I13+J13</x:f>
        <x:v>180</x:v>
      </x:c>
      <x:c r="L13" s="114" t="n">
        <x:f>IFERROR(K13/ABS(I13),"")</x:f>
        <x:v>0.12857142857142856</x:v>
      </x:c>
      <x:c r="M13" s="112" t="n">
        <x:f>XLOOKUP(B13,Demo_Market_Data!$A$5:$A$13,Demo_Market_Data!$B$5:$B$13)</x:f>
        <x:v>123</x:v>
      </x:c>
      <x:c r="N13" s="116" t="n" cm="1">
        <x:f t="array" ref="N13">IFERROR(IF(Options_Journal!L13="&gt;",NORM.S.DIST(((LN(M13/VALUE(Options_Journal!M13))-(0.5*MAX(O13,0.01)^2*(MAX(G13,1)/365)))/(MAX(O13,0.01)*SQRT((MAX(G13,1)/365)))),TRUE),IF(Options_Journal!L13="&lt;",1-NORM.S.DIST(((LN(M13/VALUE(Options_Journal!M13))-(0.5*MAX(O13,0.01)^2*(MAX(G13,1)/365)))/(MAX(O13,0.01)*SQRT((MAX(G13,1)/365)))),TRUE),IF(Options_Journal!L13=":",NORM.S.DIST(((LN(M13/VALUE(LEFT(Options_Journal!M13,FIND(":",Options_Journal!M13)-1)))-(0.5*MAX(O13,0.01)^2*(MAX(G13,1)/365)))/(MAX(O13,0.01)*SQRT((MAX(G13,1)/365)))),TRUE)-NORM.S.DIST(((LN(M13/VALUE(MID(Options_Journal!M13,FIND(":",Options_Journal!M13)+1,99)))-(0.5*MAX(O13,0.01)^2*(MAX(G13,1)/365)))/(MAX(O13,0.01)*SQRT((MAX(G13,1)/365)))),TRUE),""))),"")</x:f>
        <x:v>0.3386971107907883</x:v>
      </x:c>
      <x:c r="O13" s="116" t="n">
        <x:f>IFERROR(SUMIFS(Risk_View!$Q$5:$Q$34,Risk_View!$A$5:$A$34,A13)/COUNTIFS(Risk_View!$A$5:$A$34,A13,Risk_View!$Q$5:$Q$34,"&gt;0"),0)</x:f>
        <x:v>0.37</x:v>
      </x:c>
      <x:c r="P13" s="117" t="n">
        <x:f>XLOOKUP(B13,Demo_Market_Data!$A$5:$A$13,Demo_Market_Data!$C$5:$C$13)</x:f>
        <x:v>0.34</x:v>
      </x:c>
      <x:c r="Q13" s="116" t="n">
        <x:f>IFERROR(O13/P13-1,0)</x:f>
        <x:v>0.08823529411764697</x:v>
      </x:c>
      <x:c r="R13" s="117" t="n">
        <x:f>XLOOKUP(B13,Demo_Market_Data!$A$5:$A$13,Demo_Market_Data!$D$5:$D$13)</x:f>
        <x:v>0.45</x:v>
      </x:c>
      <x:c r="S13" s="120" t="str">
        <x:f>XLOOKUP(B13,Demo_Market_Data!$A$5:$A$13,Demo_Market_Data!$H$5:$H$13)</x:f>
        <x:v>GREEN</x:v>
      </x:c>
      <x:c r="T13" s="80" t="n">
        <x:f>SUMIFS(Risk_View!$R$5:$R$34,Risk_View!$A$5:$A$34,A13)</x:f>
        <x:v>62</x:v>
      </x:c>
      <x:c r="U13" s="112" t="n">
        <x:f>T13*M13</x:f>
        <x:v>7626</x:v>
      </x:c>
      <x:c r="V13" s="80" t="n">
        <x:f>XLOOKUP(B13,Demo_Market_Data!$A$5:$A$13,Demo_Market_Data!$F$5:$F$13)</x:f>
        <x:v>1.25</x:v>
      </x:c>
      <x:c r="W13" s="80" t="n">
        <x:f>U13*V13</x:f>
        <x:v>9532.5</x:v>
      </x:c>
      <x:c r="X13" s="80" t="n">
        <x:f>SUMIFS(Risk_View!$S$5:$S$34,Risk_View!$A$5:$A$34,A13)</x:f>
        <x:v>-2</x:v>
      </x:c>
      <x:c r="Y13" s="80" t="n">
        <x:f>SUMIFS(Risk_View!$T$5:$T$34,Risk_View!$A$5:$A$34,A13)</x:f>
        <x:v>33</x:v>
      </x:c>
      <x:c r="Z13" s="80" t="n">
        <x:f>0.5*SUMIFS(Risk_View!$U$5:$U$34,Risk_View!$A$5:$A$34,A13)*(0.01*M13)^2</x:f>
        <x:v>0.75645</x:v>
      </x:c>
      <x:c r="AA13" s="110" t="str">
        <x:f>Options_Journal!N13</x:f>
        <x:v>TECH</x:v>
      </x:c>
      <x:c r="AB13" s="122" t="b">
        <x:f>COUNTIFS(Event_Dashboard!$B$5:$B$12,B13,Event_Dashboard!$A$5:$A$12,"&gt;="&amp;TODAY(),Event_Dashboard!$A$5:$A$12,"&lt;="&amp;TODAY()+10,Event_Dashboard!$E$5:$E$12,TRUE)&gt;0</x:f>
        <x:v>0</x:v>
      </x:c>
      <x:c r="AC13" s="122" t="b">
        <x:f>COUNTIFS(Event_Dashboard!$B$5:$B$12,B13,Event_Dashboard!$A$5:$A$12,"&gt;="&amp;TODAY(),Event_Dashboard!$A$5:$A$12,"&lt;="&amp;TODAY()+45,Event_Dashboard!$E$5:$E$12,TRUE)&gt;0</x:f>
        <x:v>0</x:v>
      </x:c>
      <x:c r="AD13" s="20" t="str">
        <x:f>IF(AND(I13&lt;0,L13&lt;=-0.5),"CLOSE",IF(AND(I13&gt;0,L13&gt;=0.5),"CLOSE",IF(AND(F13="LEAP",G13&lt;=90),"ROLL",IF(AB13,"CAUTION",IF(AND(F13="LEAP",R13&gt;=0.60,NOT(AC13)),"OVERLAY",IF(AND(S13="RED",I13&lt;0),"WARNING","OK"))))))</x:f>
        <x:v>OK</x:v>
      </x:c>
      <x:c r="AE13" s="80" t="n">
        <x:f>IF(E13="Hedge",0,ABS(J13)*(1-MIN(0.95,MAX(0.05,N13)))*(1+ABS(W13)/CONFIG!$B$5))</x:f>
        <x:v>1144.4597076544658</x:v>
      </x:c>
      <x:c r="AF13" s="124" t="n">
        <x:f>IF(AE13=0,"",RANK.EQ(AE13,$AE$5:$AE$14,0))</x:f>
        <x:v>1</x:v>
      </x:c>
      <x:c r="AG13" s="174" t="n">
        <x:f>ABS(J13)</x:f>
        <x:v>1580</x:v>
      </x:c>
      <x:c r="AH13" s="174" t="n">
        <x:f>ABS(U13)</x:f>
        <x:v>7626</x:v>
      </x:c>
    </x:row>
    <x:row r="14">
      <x:c r="A14" s="110" t="n">
        <x:f>Options_Journal!A14</x:f>
        <x:v>10</x:v>
      </x:c>
      <x:c r="B14" s="110" t="str">
        <x:f>Options_Journal!E14</x:f>
        <x:v>TSLA</x:v>
      </x:c>
      <x:c r="C14" s="110" t="str">
        <x:f>Options_Journal!D14</x:f>
        <x:v>Neutral</x:v>
      </x:c>
      <x:c r="D14" s="110" t="str">
        <x:f>Options_Journal!F14</x:f>
        <x:v>Butterfly Call(dr)</x:v>
      </x:c>
      <x:c r="E14" s="110" t="str">
        <x:f>Options_Journal!B14</x:f>
        <x:v>Spec</x:v>
      </x:c>
      <x:c r="F14" s="20" t="str">
        <x:f>IF(E14="Hedge","HEDGE",IF(ISNUMBER(SEARCH("Butterfly",D14)),"BUTTERFLY",IF(AND(ISNUMBER(SEARCH("Call",D14)),G14&gt;=250),"LEAP",IF(ISNUMBER(SEARCH("(cr)",D14)),"CREDIT SPREAD",IF(ISNUMBER(SEARCH("(dr)",D14)),"DEBIT SPREAD",UPPER(D14))))))</x:f>
        <x:v>BUTTERFLY</x:v>
      </x:c>
      <x:c r="G14" s="110" t="n">
        <x:f>Options_Journal!O14</x:f>
        <x:v>100</x:v>
      </x:c>
      <x:c r="H14" s="110" t="n">
        <x:f>Options_Journal!J14</x:f>
        <x:v>1</x:v>
      </x:c>
      <x:c r="I14" s="112" t="n">
        <x:f>Options_Journal!P14</x:f>
        <x:v>-450</x:v>
      </x:c>
      <x:c r="J14" s="80" t="n">
        <x:f>SUMIFS(Risk_View!$V$5:$V$34,Risk_View!$A$5:$A$34,A14)</x:f>
        <x:v>200</x:v>
      </x:c>
      <x:c r="K14" s="80" t="n">
        <x:f>I14+J14</x:f>
        <x:v>-250</x:v>
      </x:c>
      <x:c r="L14" s="114" t="n">
        <x:f>IFERROR(K14/ABS(I14),"")</x:f>
        <x:v>-0.5555555555555556</x:v>
      </x:c>
      <x:c r="M14" s="112" t="n">
        <x:f>XLOOKUP(B14,Demo_Market_Data!$A$5:$A$13,Demo_Market_Data!$B$5:$B$13)</x:f>
        <x:v>412</x:v>
      </x:c>
      <x:c r="N14" s="116" t="n" cm="1">
        <x:f t="array" ref="N14">IFERROR(IF(Options_Journal!L14="&gt;",NORM.S.DIST(((LN(M14/VALUE(Options_Journal!M14))-(0.5*MAX(O14,0.01)^2*(MAX(G14,1)/365)))/(MAX(O14,0.01)*SQRT((MAX(G14,1)/365)))),TRUE),IF(Options_Journal!L14="&lt;",1-NORM.S.DIST(((LN(M14/VALUE(Options_Journal!M14))-(0.5*MAX(O14,0.01)^2*(MAX(G14,1)/365)))/(MAX(O14,0.01)*SQRT((MAX(G14,1)/365)))),TRUE),IF(Options_Journal!L14=":",NORM.S.DIST(((LN(M14/VALUE(LEFT(Options_Journal!M14,FIND(":",Options_Journal!M14)-1)))-(0.5*MAX(O14,0.01)^2*(MAX(G14,1)/365)))/(MAX(O14,0.01)*SQRT((MAX(G14,1)/365)))),TRUE)-NORM.S.DIST(((LN(M14/VALUE(MID(Options_Journal!M14,FIND(":",Options_Journal!M14)+1,99)))-(0.5*MAX(O14,0.01)^2*(MAX(G14,1)/365)))/(MAX(O14,0.01)*SQRT((MAX(G14,1)/365)))),TRUE),""))),"")</x:f>
        <x:v>0.08700514443361984</x:v>
      </x:c>
      <x:c r="O14" s="116" t="n">
        <x:f>IFERROR(SUMIFS(Risk_View!$Q$5:$Q$34,Risk_View!$A$5:$A$34,A14)/COUNTIFS(Risk_View!$A$5:$A$34,A14,Risk_View!$Q$5:$Q$34,"&gt;0"),0)</x:f>
        <x:v>0.63</x:v>
      </x:c>
      <x:c r="P14" s="117" t="n">
        <x:f>XLOOKUP(B14,Demo_Market_Data!$A$5:$A$13,Demo_Market_Data!$C$5:$C$13)</x:f>
        <x:v>0.6</x:v>
      </x:c>
      <x:c r="Q14" s="116" t="n">
        <x:f>IFERROR(O14/P14-1,0)</x:f>
        <x:v>0.050000000000000044</x:v>
      </x:c>
      <x:c r="R14" s="117" t="n">
        <x:f>XLOOKUP(B14,Demo_Market_Data!$A$5:$A$13,Demo_Market_Data!$D$5:$D$13)</x:f>
        <x:v>0.72</x:v>
      </x:c>
      <x:c r="S14" s="120" t="str">
        <x:f>XLOOKUP(B14,Demo_Market_Data!$A$5:$A$13,Demo_Market_Data!$H$5:$H$13)</x:f>
        <x:v>YELLOW</x:v>
      </x:c>
      <x:c r="T14" s="80" t="n">
        <x:f>SUMIFS(Risk_View!$R$5:$R$34,Risk_View!$A$5:$A$34,A14)</x:f>
        <x:v>2</x:v>
      </x:c>
      <x:c r="U14" s="112" t="n">
        <x:f>T14*M14</x:f>
        <x:v>824</x:v>
      </x:c>
      <x:c r="V14" s="80" t="n">
        <x:f>XLOOKUP(B14,Demo_Market_Data!$A$5:$A$13,Demo_Market_Data!$F$5:$F$13)</x:f>
        <x:v>2</x:v>
      </x:c>
      <x:c r="W14" s="80" t="n">
        <x:f>U14*V14</x:f>
        <x:v>1648</x:v>
      </x:c>
      <x:c r="X14" s="80" t="n">
        <x:f>SUMIFS(Risk_View!$S$5:$S$34,Risk_View!$A$5:$A$34,A14)</x:f>
        <x:v>3</x:v>
      </x:c>
      <x:c r="Y14" s="80" t="n">
        <x:f>SUMIFS(Risk_View!$T$5:$T$34,Risk_View!$A$5:$A$34,A14)</x:f>
        <x:v>-4</x:v>
      </x:c>
      <x:c r="Z14" s="80" t="n">
        <x:f>0.5*SUMIFS(Risk_View!$U$5:$U$34,Risk_View!$A$5:$A$34,A14)*(0.01*M14)^2</x:f>
        <x:v>-1.6974400000000014</x:v>
      </x:c>
      <x:c r="AA14" s="110" t="str">
        <x:f>Options_Journal!N14</x:f>
        <x:v>TECH</x:v>
      </x:c>
      <x:c r="AB14" s="122" t="b">
        <x:f>COUNTIFS(Event_Dashboard!$B$5:$B$12,B14,Event_Dashboard!$A$5:$A$12,"&gt;="&amp;TODAY(),Event_Dashboard!$A$5:$A$12,"&lt;="&amp;TODAY()+10,Event_Dashboard!$E$5:$E$12,TRUE)&gt;0</x:f>
        <x:v>0</x:v>
      </x:c>
      <x:c r="AC14" s="122" t="b">
        <x:f>COUNTIFS(Event_Dashboard!$B$5:$B$12,B14,Event_Dashboard!$A$5:$A$12,"&gt;="&amp;TODAY(),Event_Dashboard!$A$5:$A$12,"&lt;="&amp;TODAY()+45,Event_Dashboard!$E$5:$E$12,TRUE)&gt;0</x:f>
        <x:v>0</x:v>
      </x:c>
      <x:c r="AD14" s="20" t="str">
        <x:f>IF(AND(I14&lt;0,L14&lt;=-0.5),"CLOSE",IF(AND(I14&gt;0,L14&gt;=0.5),"CLOSE",IF(AND(F14="LEAP",G14&lt;=90),"ROLL",IF(AB14,"CAUTION",IF(AND(F14="LEAP",R14&gt;=0.60,NOT(AC14)),"OVERLAY",IF(AND(S14="RED",I14&lt;0),"WARNING","OK"))))))</x:f>
        <x:v>CLOSE</x:v>
      </x:c>
      <x:c r="AE14" s="80" t="n">
        <x:f>IF(E14="Hedge",0,ABS(J14)*(1-MIN(0.95,MAX(0.05,N14)))*(1+ABS(W14)/CONFIG!$B$5))</x:f>
        <x:v>185.60820215722285</x:v>
      </x:c>
      <x:c r="AF14" s="124" t="n">
        <x:f>IF(AE14=0,"",RANK.EQ(AE14,$AE$5:$AE$14,0))</x:f>
        <x:v>6</x:v>
      </x:c>
      <x:c r="AG14" s="174" t="n">
        <x:f>ABS(J14)</x:f>
        <x:v>200</x:v>
      </x:c>
      <x:c r="AH14" s="174" t="n">
        <x:f>ABS(U14)</x:f>
        <x:v>824</x:v>
      </x:c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</x:row>
  </x:sheetData>
  <x:mergeCells>
    <x:mergeCell ref="A1:AF2"/>
  </x:mergeCells>
  <x:conditionalFormatting sqref="AD5:AD14">
    <x:cfRule type="expression" dxfId="7" priority="1">
      <x:formula>AD5="CLOSE"</x:formula>
    </x:cfRule>
    <x:cfRule type="expression" dxfId="8" priority="2">
      <x:formula>AD5="ROLL"</x:formula>
    </x:cfRule>
    <x:cfRule type="expression" dxfId="9" priority="3">
      <x:formula>AD5="CAUTION"</x:formula>
    </x:cfRule>
    <x:cfRule type="expression" dxfId="10" priority="4">
      <x:formula>AD5="OVERLAY"</x:formula>
    </x:cfRule>
    <x:cfRule type="expression" dxfId="11" priority="5">
      <x:formula>AD5="WARNING"</x:formula>
    </x:cfRule>
    <x:cfRule type="expression" dxfId="12" priority="6">
      <x:formula>AD5="OK"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4" hidden="0" customWidth="1"/>
    <x:col min="4" max="4" width="24" hidden="0" customWidth="1"/>
    <x:col min="5" max="5" width="18" hidden="0" customWidth="1"/>
    <x:col min="6" max="6" width="16" hidden="0" customWidth="1"/>
    <x:col min="7" max="7" width="16" hidden="0" customWidth="1"/>
    <x:col min="8" max="8" width="14" hidden="0" customWidth="1"/>
    <x:col min="9" max="9" width="4" hidden="0" customWidth="1"/>
    <x:col min="10" max="10" width="18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4" hidden="0" customWidth="1"/>
    <x:col min="17" max="17" width="4" hidden="0" customWidth="1"/>
    <x:col min="18" max="18" width="4" hidden="0" customWidth="1"/>
  </x:cols>
  <x:sheetData>
    <x:row r="1">
      <x:c r="A1" s="5" t="str">
        <x:v>CONVEX — PORTFOLIO RISK MANAGER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>
      <x:c r="A4" s="14" t="str">
        <x:v>PORTFOLIO KPIs</x:v>
      </x:c>
      <x:c r="B4" s="14"/>
      <x:c r="C4" s="2"/>
      <x:c r="D4" s="14" t="str">
        <x:v>RISK STATUS</x:v>
      </x:c>
      <x:c r="E4" s="14"/>
      <x:c r="F4" s="14"/>
      <x:c r="G4" s="2"/>
      <x:c r="H4" s="2"/>
      <x:c r="I4" s="2"/>
      <x:c r="J4" s="14" t="str">
        <x:v>GAMMA-AWARE PORTFOLIO STRESS GRID — EST. P&amp;L ($)</x:v>
      </x:c>
      <x:c r="K4" s="14"/>
      <x:c r="L4" s="14"/>
      <x:c r="M4" s="14"/>
      <x:c r="N4" s="14"/>
      <x:c r="O4" s="14"/>
      <x:c r="P4" s="14"/>
      <x:c r="Q4" s="14"/>
      <x:c r="R4" s="14"/>
    </x:row>
    <x:row r="5">
      <x:c r="A5" s="20" t="str">
        <x:v>Equity</x:v>
      </x:c>
      <x:c r="B5" s="112" t="n">
        <x:f>CONFIG!B5</x:f>
        <x:v>100000</x:v>
      </x:c>
      <x:c r="C5" s="2"/>
      <x:c r="D5" s="20" t="str">
        <x:v>BetaAdj Delta / Equity</x:v>
      </x:c>
      <x:c r="E5" s="130" t="n">
        <x:f>B8/B5</x:f>
        <x:v>0.172915</x:v>
      </x:c>
      <x:c r="F5" s="2"/>
      <x:c r="G5" s="2"/>
      <x:c r="H5" s="2"/>
      <x:c r="I5" s="2"/>
      <x:c r="J5" s="51" t="str">
        <x:v>SPY Move / IV Shock</x:v>
      </x:c>
      <x:c r="K5" s="51" t="n">
        <x:v>-10</x:v>
      </x:c>
      <x:c r="L5" s="51" t="n">
        <x:v>-5</x:v>
      </x:c>
      <x:c r="M5" s="51" t="n">
        <x:v>0</x:v>
      </x:c>
      <x:c r="N5" s="51" t="n">
        <x:v>5</x:v>
      </x:c>
      <x:c r="O5" s="51" t="n">
        <x:v>10</x:v>
      </x:c>
      <x:c r="P5" s="2"/>
      <x:c r="Q5" s="2"/>
      <x:c r="R5" s="2"/>
    </x:row>
    <x:row r="6">
      <x:c r="A6" s="20" t="str">
        <x:v>Open Positions</x:v>
      </x:c>
      <x:c r="B6" s="128" t="n">
        <x:f>COUNTA(Positional_Analysis!A5:A14)</x:f>
        <x:v>10</x:v>
      </x:c>
      <x:c r="C6" s="2"/>
      <x:c r="D6" s="20" t="str">
        <x:v>Vega / Equity</x:v>
      </x:c>
      <x:c r="E6" s="116" t="n">
        <x:f>ABS(B11)/B5</x:f>
        <x:v>0.00123</x:v>
      </x:c>
      <x:c r="F6" s="2"/>
      <x:c r="G6" s="2"/>
      <x:c r="H6" s="2"/>
      <x:c r="I6" s="2"/>
      <x:c r="J6" s="140" t="n">
        <x:v>-0.1</x:v>
      </x:c>
      <x:c r="K6" s="80" t="n">
        <x:f>$B$8*$J6+$B$11*K$5+$B$12*($J6/0.01)^2</x:f>
        <x:v>-1076.9714999999999</x:v>
      </x:c>
      <x:c r="L6" s="80" t="n">
        <x:f>$B$8*$J6+$B$11*L$5+$B$12*($J6/0.01)^2</x:f>
        <x:v>-461.9714999999999</x:v>
      </x:c>
      <x:c r="M6" s="80" t="n">
        <x:f>$B$8*$J6+$B$11*M$5+$B$12*($J6/0.01)^2</x:f>
        <x:v>153.02850000000012</x:v>
      </x:c>
      <x:c r="N6" s="80" t="n">
        <x:f>$B$8*$J6+$B$11*N$5+$B$12*($J6/0.01)^2</x:f>
        <x:v>768.0285000000001</x:v>
      </x:c>
      <x:c r="O6" s="80" t="n">
        <x:f>$B$8*$J6+$B$11*O$5+$B$12*($J6/0.01)^2</x:f>
        <x:v>1383.0285000000001</x:v>
      </x:c>
      <x:c r="P6" s="2"/>
      <x:c r="Q6" s="2"/>
      <x:c r="R6" s="2"/>
    </x:row>
    <x:row r="7">
      <x:c r="A7" s="20" t="str">
        <x:v>Net $Delta</x:v>
      </x:c>
      <x:c r="B7" s="112" t="n">
        <x:f>SUM(Positional_Analysis!U5:U14)</x:f>
        <x:v>10538</x:v>
      </x:c>
      <x:c r="C7" s="2"/>
      <x:c r="D7" s="20" t="str">
        <x:v>Theta / Equity / day</x:v>
      </x:c>
      <x:c r="E7" s="116" t="n">
        <x:f>ABS(B10)/B5</x:f>
        <x:v>0.00006800000000000001</x:v>
      </x:c>
      <x:c r="F7" s="2"/>
      <x:c r="G7" s="2"/>
      <x:c r="H7" s="2"/>
      <x:c r="I7" s="2"/>
      <x:c r="J7" s="140" t="n">
        <x:v>-0.05</x:v>
      </x:c>
      <x:c r="K7" s="80" t="n">
        <x:f>$B$8*$J7+$B$11*K$5+$B$12*($J7/0.01)^2</x:f>
        <x:v>-1624.0303749999998</x:v>
      </x:c>
      <x:c r="L7" s="80" t="n">
        <x:f>$B$8*$J7+$B$11*L$5+$B$12*($J7/0.01)^2</x:f>
        <x:v>-1009.030375</x:v>
      </x:c>
      <x:c r="M7" s="80" t="n">
        <x:f>$B$8*$J7+$B$11*M$5+$B$12*($J7/0.01)^2</x:f>
        <x:v>-394.030375</x:v>
      </x:c>
      <x:c r="N7" s="80" t="n">
        <x:f>$B$8*$J7+$B$11*N$5+$B$12*($J7/0.01)^2</x:f>
        <x:v>220.969625</x:v>
      </x:c>
      <x:c r="O7" s="80" t="n">
        <x:f>$B$8*$J7+$B$11*O$5+$B$12*($J7/0.01)^2</x:f>
        <x:v>835.969625</x:v>
      </x:c>
      <x:c r="P7" s="2"/>
      <x:c r="Q7" s="2"/>
      <x:c r="R7" s="2"/>
    </x:row>
    <x:row r="8">
      <x:c r="A8" s="20" t="str">
        <x:v>Beta-Adj $Delta</x:v>
      </x:c>
      <x:c r="B8" s="112" t="n">
        <x:f>SUM(Positional_Analysis!W5:W14)</x:f>
        <x:v>17291.5</x:v>
      </x:c>
      <x:c r="C8" s="2"/>
      <x:c r="D8" s="20" t="str">
        <x:v>Largest Factor Share</x:v>
      </x:c>
      <x:c r="E8" s="116" t="n">
        <x:f>MAX(G19:G25)</x:f>
        <x:v>0.2751159196290572</x:v>
      </x:c>
      <x:c r="F8" s="2"/>
      <x:c r="G8" s="2"/>
      <x:c r="H8" s="2"/>
      <x:c r="I8" s="2"/>
      <x:c r="J8" s="140" t="n">
        <x:v>0</x:v>
      </x:c>
      <x:c r="K8" s="80" t="n">
        <x:f>$B$8*$J8+$B$11*K$5+$B$12*($J8/0.01)^2</x:f>
        <x:v>-1230</x:v>
      </x:c>
      <x:c r="L8" s="80" t="n">
        <x:f>$B$8*$J8+$B$11*L$5+$B$12*($J8/0.01)^2</x:f>
        <x:v>-615</x:v>
      </x:c>
      <x:c r="M8" s="80" t="n">
        <x:f>$B$8*$J8+$B$11*M$5+$B$12*($J8/0.01)^2</x:f>
        <x:v>0</x:v>
      </x:c>
      <x:c r="N8" s="80" t="n">
        <x:f>$B$8*$J8+$B$11*N$5+$B$12*($J8/0.01)^2</x:f>
        <x:v>615</x:v>
      </x:c>
      <x:c r="O8" s="80" t="n">
        <x:f>$B$8*$J8+$B$11*O$5+$B$12*($J8/0.01)^2</x:f>
        <x:v>1230</x:v>
      </x:c>
      <x:c r="P8" s="2"/>
      <x:c r="Q8" s="2"/>
      <x:c r="R8" s="2"/>
    </x:row>
    <x:row r="9">
      <x:c r="A9" s="20" t="str">
        <x:v>Gross $Delta</x:v>
      </x:c>
      <x:c r="B9" s="112" t="n">
        <x:f>SUM(Positional_Analysis!AH5:AH14)</x:f>
        <x:v>68866</x:v>
      </x:c>
      <x:c r="C9" s="2"/>
      <x:c r="D9" s="20" t="str">
        <x:v>Risk Meter (0-5)</x:v>
      </x:c>
      <x:c r="E9" s="132" t="n">
        <x:f>MIN(5,MAX(F30:F36)*3)</x:f>
        <x:v>2.1428571428571423</x:v>
      </x:c>
      <x:c r="F9" s="2"/>
      <x:c r="G9" s="2"/>
      <x:c r="H9" s="2"/>
      <x:c r="I9" s="2"/>
      <x:c r="J9" s="140" t="n">
        <x:v>0.05</x:v>
      </x:c>
      <x:c r="K9" s="80" t="n">
        <x:f>$B$8*$J9+$B$11*K$5+$B$12*($J9/0.01)^2</x:f>
        <x:v>105.1196250000001</x:v>
      </x:c>
      <x:c r="L9" s="80" t="n">
        <x:f>$B$8*$J9+$B$11*L$5+$B$12*($J9/0.01)^2</x:f>
        <x:v>720.119625</x:v>
      </x:c>
      <x:c r="M9" s="80" t="n">
        <x:f>$B$8*$J9+$B$11*M$5+$B$12*($J9/0.01)^2</x:f>
        <x:v>1335.119625</x:v>
      </x:c>
      <x:c r="N9" s="80" t="n">
        <x:f>$B$8*$J9+$B$11*N$5+$B$12*($J9/0.01)^2</x:f>
        <x:v>1950.119625</x:v>
      </x:c>
      <x:c r="O9" s="80" t="n">
        <x:f>$B$8*$J9+$B$11*O$5+$B$12*($J9/0.01)^2</x:f>
        <x:v>2565.119625</x:v>
      </x:c>
      <x:c r="P9" s="2"/>
      <x:c r="Q9" s="2"/>
      <x:c r="R9" s="2"/>
    </x:row>
    <x:row r="10">
      <x:c r="A10" s="20" t="str">
        <x:v>Net Theta / day</x:v>
      </x:c>
      <x:c r="B10" s="112" t="n">
        <x:f>SUM(Positional_Analysis!X5:X14)</x:f>
        <x:v>-6.800000000000001</x:v>
      </x:c>
      <x:c r="C10" s="2"/>
      <x:c r="D10" s="20" t="str">
        <x:v>Overall Status</x:v>
      </x:c>
      <x:c r="E10" s="122" t="str">
        <x:f>IF(COUNTIF(E30:E36,"BREACH")&gt;0,"BREACH",IF(COUNTIF(E30:E36,"WARN")&gt;0,"WARN","OK"))</x:f>
        <x:v>OK</x:v>
      </x:c>
      <x:c r="F10" s="2"/>
      <x:c r="G10" s="2"/>
      <x:c r="H10" s="2"/>
      <x:c r="I10" s="2"/>
      <x:c r="J10" s="140" t="n">
        <x:v>0.1</x:v>
      </x:c>
      <x:c r="K10" s="80" t="n">
        <x:f>$B$8*$J10+$B$11*K$5+$B$12*($J10/0.01)^2</x:f>
        <x:v>2381.3285000000005</x:v>
      </x:c>
      <x:c r="L10" s="80" t="n">
        <x:f>$B$8*$J10+$B$11*L$5+$B$12*($J10/0.01)^2</x:f>
        <x:v>2996.3285000000005</x:v>
      </x:c>
      <x:c r="M10" s="80" t="n">
        <x:f>$B$8*$J10+$B$11*M$5+$B$12*($J10/0.01)^2</x:f>
        <x:v>3611.3285000000005</x:v>
      </x:c>
      <x:c r="N10" s="80" t="n">
        <x:f>$B$8*$J10+$B$11*N$5+$B$12*($J10/0.01)^2</x:f>
        <x:v>4226.3285000000005</x:v>
      </x:c>
      <x:c r="O10" s="80" t="n">
        <x:f>$B$8*$J10+$B$11*O$5+$B$12*($J10/0.01)^2</x:f>
        <x:v>4841.3285000000005</x:v>
      </x:c>
      <x:c r="P10" s="2"/>
      <x:c r="Q10" s="2"/>
      <x:c r="R10" s="2"/>
    </x:row>
    <x:row r="11">
      <x:c r="A11" s="20" t="str">
        <x:v>Net Vega / pt</x:v>
      </x:c>
      <x:c r="B11" s="112" t="n">
        <x:f>SUM(Positional_Analysis!Y5:Y14)</x:f>
        <x:v>123</x:v>
      </x:c>
      <x:c r="C11" s="2"/>
      <x:c r="D11" s="20" t="str">
        <x:v>Binding Constraint</x:v>
      </x:c>
      <x:c r="E11" s="122" t="str">
        <x:f>XLOOKUP(MAX(F30:F36),F30:F36,A30:A36)</x:f>
        <x:v>BP Utilization</x:v>
      </x:c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</x:row>
    <x:row r="12">
      <x:c r="A12" s="20" t="str">
        <x:v>Net Gamma / 1%</x:v>
      </x:c>
      <x:c r="B12" s="112" t="n">
        <x:f>SUM(Positional_Analysis!Z5:Z14)</x:f>
        <x:v>18.821785000000002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</x:row>
    <x:row r="13">
      <x:c r="A13" s="20" t="str">
        <x:v>Premium Held</x:v>
      </x:c>
      <x:c r="B13" s="112" t="n">
        <x:f>SUM(Positional_Analysis!AG5:AG14)</x:f>
        <x:v>6470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</x:row>
    <x:row r="14">
      <x:c r="A14" s="20" t="str">
        <x:v>Portfolio RVOL</x:v>
      </x:c>
      <x:c r="B14" s="117" t="n">
        <x:f>IFERROR((Positional_Analysis!AG5*Positional_Analysis!P5+Positional_Analysis!AG6*Positional_Analysis!P6+Positional_Analysis!AG7*Positional_Analysis!P7+Positional_Analysis!AG8*Positional_Analysis!P8+Positional_Analysis!AG9*Positional_Analysis!P9+Positional_Analysis!AG10*Positional_Analysis!P10+Positional_Analysis!AG11*Positional_Analysis!P11+Positional_Analysis!AG12*Positional_Analysis!P12+Positional_Analysis!AG13*Positional_Analysis!P13+Positional_Analysis!AG14*Positional_Analysis!P14)/B13,0)</x:f>
        <x:v>0.3929366306027821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</x:row>
    <x:row r="15">
      <x:c r="A15" s="20" t="str">
        <x:v>BP Utilization</x:v>
      </x:c>
      <x:c r="B15" s="117" t="n">
        <x:f>(CONFIG!B6-CONFIG!B7)/CONFIG!B6</x:f>
        <x:v>0.5714285714285714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</x:row>
    <x:row r="17">
      <x:c r="A17" s="14" t="str">
        <x:v>FACTOR EXPOSURE</x:v>
      </x:c>
      <x:c r="B17" s="14"/>
      <x:c r="C17" s="14"/>
      <x:c r="D17" s="14"/>
      <x:c r="E17" s="14"/>
      <x:c r="F17" s="14"/>
      <x:c r="G17" s="14"/>
      <x:c r="H17" s="14"/>
      <x:c r="I17" s="2"/>
      <x:c r="J17" s="2"/>
      <x:c r="K17" s="2"/>
      <x:c r="L17" s="2"/>
      <x:c r="M17" s="2"/>
      <x:c r="N17" s="2"/>
      <x:c r="O17" s="2"/>
      <x:c r="P17" s="2"/>
      <x:c r="Q17" s="2"/>
      <x:c r="R17" s="2"/>
    </x:row>
    <x:row r="18">
      <x:c r="A18" s="51" t="str">
        <x:v>Factor</x:v>
      </x:c>
      <x:c r="B18" s="51" t="str">
        <x:v>Positions</x:v>
      </x:c>
      <x:c r="C18" s="51" t="str">
        <x:v>Premium Held_$</x:v>
      </x:c>
      <x:c r="D18" s="51" t="str">
        <x:v>BetaAdj_$Delta</x:v>
      </x:c>
      <x:c r="E18" s="51" t="str">
        <x:v>Theta_$/day</x:v>
      </x:c>
      <x:c r="F18" s="51" t="str">
        <x:v>Vega_$/pt</x:v>
      </x:c>
      <x:c r="G18" s="51" t="str">
        <x:v>Share_of_Premium</x:v>
      </x:c>
      <x:c r="H18" s="51" t="str">
        <x:v>Avg_RVOL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</x:row>
    <x:row r="19">
      <x:c r="A19" s="20" t="str">
        <x:v>AI</x:v>
      </x:c>
      <x:c r="B19" s="20" t="n">
        <x:f>COUNTIF(Positional_Analysis!$AA$5:$AA$14,A19)</x:f>
        <x:v>1</x:v>
      </x:c>
      <x:c r="C19" s="80" t="n">
        <x:f>SUMIF(Positional_Analysis!$AA$5:$AA$14,A19,Positional_Analysis!$AG$5:$AG$14)</x:f>
        <x:v>770</x:v>
      </x:c>
      <x:c r="D19" s="80" t="n">
        <x:f>SUMIF(Positional_Analysis!$AA$5:$AA$14,A19,Positional_Analysis!$W$5:$W$14)</x:f>
        <x:v>9435</x:v>
      </x:c>
      <x:c r="E19" s="80" t="n">
        <x:f>SUMIF(Positional_Analysis!$AA$5:$AA$14,A19,Positional_Analysis!$X$5:$X$14)</x:f>
        <x:v>-1.2999999999999998</x:v>
      </x:c>
      <x:c r="F19" s="80" t="n">
        <x:f>SUMIF(Positional_Analysis!$AA$5:$AA$14,A19,Positional_Analysis!$Y$5:$Y$14)</x:f>
        <x:v>4</x:v>
      </x:c>
      <x:c r="G19" s="116" t="n">
        <x:f>IFERROR(C19/$B$13,0)</x:f>
        <x:v>0.11901081916537867</x:v>
      </x:c>
      <x:c r="H19" s="116" t="n">
        <x:f>IFERROR(AVERAGEIF(Positional_Analysis!$AA$5:$AA$14,A19,Positional_Analysis!$P$5:$P$14),0)</x:f>
        <x:v>0.45</x:v>
      </x:c>
      <x:c r="I19" s="2"/>
      <x:c r="J19" s="2"/>
      <x:c r="K19" s="2"/>
      <x:c r="L19" s="2"/>
      <x:c r="M19" s="2"/>
      <x:c r="N19" s="2"/>
      <x:c r="O19" s="2"/>
      <x:c r="P19" s="2"/>
      <x:c r="Q19" s="2"/>
      <x:c r="R19" s="2"/>
    </x:row>
    <x:row r="20">
      <x:c r="A20" s="20" t="str">
        <x:v>INDEX</x:v>
      </x:c>
      <x:c r="B20" s="20" t="n">
        <x:f>COUNTIF(Positional_Analysis!$AA$5:$AA$14,A20)</x:f>
        <x:v>2</x:v>
      </x:c>
      <x:c r="C20" s="80" t="n">
        <x:f>SUMIF(Positional_Analysis!$AA$5:$AA$14,A20,Positional_Analysis!$AG$5:$AG$14)</x:f>
        <x:v>690</x:v>
      </x:c>
      <x:c r="D20" s="80" t="n">
        <x:f>SUMIF(Positional_Analysis!$AA$5:$AA$14,A20,Positional_Analysis!$W$5:$W$14)</x:f>
        <x:v>2720</x:v>
      </x:c>
      <x:c r="E20" s="80" t="n">
        <x:f>SUMIF(Positional_Analysis!$AA$5:$AA$14,A20,Positional_Analysis!$X$5:$X$14)</x:f>
        <x:v>13.5</x:v>
      </x:c>
      <x:c r="F20" s="80" t="n">
        <x:f>SUMIF(Positional_Analysis!$AA$5:$AA$14,A20,Positional_Analysis!$Y$5:$Y$14)</x:f>
        <x:v>-13.999999999999998</x:v>
      </x:c>
      <x:c r="G20" s="116" t="n">
        <x:f>IFERROR(C20/$B$13,0)</x:f>
        <x:v>0.10664605873261206</x:v>
      </x:c>
      <x:c r="H20" s="116" t="n">
        <x:f>IFERROR(AVERAGEIF(Positional_Analysis!$AA$5:$AA$14,A20,Positional_Analysis!$P$5:$P$14),0)</x:f>
        <x:v>0.2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>
      <x:c r="A21" s="20" t="str">
        <x:v>BIOTECH</x:v>
      </x:c>
      <x:c r="B21" s="20" t="n">
        <x:f>COUNTIF(Positional_Analysis!$AA$5:$AA$14,A21)</x:f>
        <x:v>1</x:v>
      </x:c>
      <x:c r="C21" s="80" t="n">
        <x:f>SUMIF(Positional_Analysis!$AA$5:$AA$14,A21,Positional_Analysis!$AG$5:$AG$14)</x:f>
        <x:v>850</x:v>
      </x:c>
      <x:c r="D21" s="80" t="n">
        <x:f>SUMIF(Positional_Analysis!$AA$5:$AA$14,A21,Positional_Analysis!$W$5:$W$14)</x:f>
        <x:v>3317.5999999999995</x:v>
      </x:c>
      <x:c r="E21" s="80" t="n">
        <x:f>SUMIF(Positional_Analysis!$AA$5:$AA$14,A21,Positional_Analysis!$X$5:$X$14)</x:f>
        <x:v>-3.5000000000000004</x:v>
      </x:c>
      <x:c r="F21" s="80" t="n">
        <x:f>SUMIF(Positional_Analysis!$AA$5:$AA$14,A21,Positional_Analysis!$Y$5:$Y$14)</x:f>
        <x:v>28.000000000000004</x:v>
      </x:c>
      <x:c r="G21" s="116" t="n">
        <x:f>IFERROR(C21/$B$13,0)</x:f>
        <x:v>0.13137557959814528</x:v>
      </x:c>
      <x:c r="H21" s="116" t="n">
        <x:f>IFERROR(AVERAGEIF(Positional_Analysis!$AA$5:$AA$14,A21,Positional_Analysis!$P$5:$P$14),0)</x:f>
        <x:v>0.52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>
      <x:c r="A22" s="20" t="str">
        <x:v>CRYPTO</x:v>
      </x:c>
      <x:c r="B22" s="20" t="n">
        <x:f>COUNTIF(Positional_Analysis!$AA$5:$AA$14,A22)</x:f>
        <x:v>1</x:v>
      </x:c>
      <x:c r="C22" s="80" t="n">
        <x:f>SUMIF(Positional_Analysis!$AA$5:$AA$14,A22,Positional_Analysis!$AG$5:$AG$14)</x:f>
        <x:v>980.0000000000001</x:v>
      </x:c>
      <x:c r="D22" s="80" t="n">
        <x:f>SUMIF(Positional_Analysis!$AA$5:$AA$14,A22,Positional_Analysis!$W$5:$W$14)</x:f>
        <x:v>8296</x:v>
      </x:c>
      <x:c r="E22" s="80" t="n">
        <x:f>SUMIF(Positional_Analysis!$AA$5:$AA$14,A22,Positional_Analysis!$X$5:$X$14)</x:f>
        <x:v>-2.5</x:v>
      </x:c>
      <x:c r="F22" s="80" t="n">
        <x:f>SUMIF(Positional_Analysis!$AA$5:$AA$14,A22,Positional_Analysis!$Y$5:$Y$14)</x:f>
        <x:v>31</x:v>
      </x:c>
      <x:c r="G22" s="116" t="n">
        <x:f>IFERROR(C22/$B$13,0)</x:f>
        <x:v>0.15146831530139104</x:v>
      </x:c>
      <x:c r="H22" s="116" t="n">
        <x:f>IFERROR(AVERAGEIF(Positional_Analysis!$AA$5:$AA$14,A22,Positional_Analysis!$P$5:$P$14),0)</x:f>
        <x:v>0.58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>
      <x:c r="A23" s="20" t="str">
        <x:v>ENERGY</x:v>
      </x:c>
      <x:c r="B23" s="20" t="n">
        <x:f>COUNTIF(Positional_Analysis!$AA$5:$AA$14,A23)</x:f>
        <x:v>2</x:v>
      </x:c>
      <x:c r="C23" s="80" t="n">
        <x:f>SUMIF(Positional_Analysis!$AA$5:$AA$14,A23,Positional_Analysis!$AG$5:$AG$14)</x:f>
        <x:v>900</x:v>
      </x:c>
      <x:c r="D23" s="80" t="n">
        <x:f>SUMIF(Positional_Analysis!$AA$5:$AA$14,A23,Positional_Analysis!$W$5:$W$14)</x:f>
        <x:v>2142.4</x:v>
      </x:c>
      <x:c r="E23" s="80" t="n">
        <x:f>SUMIF(Positional_Analysis!$AA$5:$AA$14,A23,Positional_Analysis!$X$5:$X$14)</x:f>
        <x:v>-2</x:v>
      </x:c>
      <x:c r="F23" s="80" t="n">
        <x:f>SUMIF(Positional_Analysis!$AA$5:$AA$14,A23,Positional_Analysis!$Y$5:$Y$14)</x:f>
        <x:v>7</x:v>
      </x:c>
      <x:c r="G23" s="116" t="n">
        <x:f>IFERROR(C23/$B$13,0)</x:f>
        <x:v>0.1391035548686244</x:v>
      </x:c>
      <x:c r="H23" s="116" t="n">
        <x:f>IFERROR(AVERAGEIF(Positional_Analysis!$AA$5:$AA$14,A23,Positional_Analysis!$P$5:$P$14),0)</x:f>
        <x:v>0.315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>
      <x:c r="A24" s="20" t="str">
        <x:v>HEDGE</x:v>
      </x:c>
      <x:c r="B24" s="20" t="n">
        <x:f>COUNTIF(Positional_Analysis!$AA$5:$AA$14,A24)</x:f>
        <x:v>1</x:v>
      </x:c>
      <x:c r="C24" s="80" t="n">
        <x:f>SUMIF(Positional_Analysis!$AA$5:$AA$14,A24,Positional_Analysis!$AG$5:$AG$14)</x:f>
        <x:v>500</x:v>
      </x:c>
      <x:c r="D24" s="80" t="n">
        <x:f>SUMIF(Positional_Analysis!$AA$5:$AA$14,A24,Positional_Analysis!$W$5:$W$14)</x:f>
        <x:v>-19800</x:v>
      </x:c>
      <x:c r="E24" s="80" t="n">
        <x:f>SUMIF(Positional_Analysis!$AA$5:$AA$14,A24,Positional_Analysis!$X$5:$X$14)</x:f>
        <x:v>-12</x:v>
      </x:c>
      <x:c r="F24" s="80" t="n">
        <x:f>SUMIF(Positional_Analysis!$AA$5:$AA$14,A24,Positional_Analysis!$Y$5:$Y$14)</x:f>
        <x:v>38</x:v>
      </x:c>
      <x:c r="G24" s="116" t="n">
        <x:f>IFERROR(C24/$B$13,0)</x:f>
        <x:v>0.07727975270479134</x:v>
      </x:c>
      <x:c r="H24" s="116" t="n">
        <x:f>IFERROR(AVERAGEIF(Positional_Analysis!$AA$5:$AA$14,A24,Positional_Analysis!$P$5:$P$14),0)</x:f>
        <x:v>0.18</x:v>
      </x:c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>
      <x:c r="A25" s="20" t="str">
        <x:v>TECH</x:v>
      </x:c>
      <x:c r="B25" s="20" t="n">
        <x:f>COUNTIF(Positional_Analysis!$AA$5:$AA$14,A25)</x:f>
        <x:v>2</x:v>
      </x:c>
      <x:c r="C25" s="80" t="n">
        <x:f>SUMIF(Positional_Analysis!$AA$5:$AA$14,A25,Positional_Analysis!$AG$5:$AG$14)</x:f>
        <x:v>1780</x:v>
      </x:c>
      <x:c r="D25" s="80" t="n">
        <x:f>SUMIF(Positional_Analysis!$AA$5:$AA$14,A25,Positional_Analysis!$W$5:$W$14)</x:f>
        <x:v>11180.5</x:v>
      </x:c>
      <x:c r="E25" s="80" t="n">
        <x:f>SUMIF(Positional_Analysis!$AA$5:$AA$14,A25,Positional_Analysis!$X$5:$X$14)</x:f>
        <x:v>1</x:v>
      </x:c>
      <x:c r="F25" s="80" t="n">
        <x:f>SUMIF(Positional_Analysis!$AA$5:$AA$14,A25,Positional_Analysis!$Y$5:$Y$14)</x:f>
        <x:v>29</x:v>
      </x:c>
      <x:c r="G25" s="116" t="n">
        <x:f>IFERROR(C25/$B$13,0)</x:f>
        <x:v>0.2751159196290572</x:v>
      </x:c>
      <x:c r="H25" s="116" t="n">
        <x:f>IFERROR(AVERAGEIF(Positional_Analysis!$AA$5:$AA$14,A25,Positional_Analysis!$P$5:$P$14),0)</x:f>
        <x:v>0.47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>
      <x:c r="A28" s="14" t="str">
        <x:v>RISK LIMITS — ILLUSTRATIVE, NOT BACKTEST-CALIBRATED</x:v>
      </x:c>
      <x:c r="B28" s="14"/>
      <x:c r="C28" s="14"/>
      <x:c r="D28" s="14"/>
      <x:c r="E28" s="14"/>
      <x:c r="F28" s="14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>
      <x:c r="A29" s="51" t="str">
        <x:v>Metric</x:v>
      </x:c>
      <x:c r="B29" s="51" t="str">
        <x:v>Current</x:v>
      </x:c>
      <x:c r="C29" s="51" t="str">
        <x:v>Warn</x:v>
      </x:c>
      <x:c r="D29" s="51" t="str">
        <x:v>Breach</x:v>
      </x:c>
      <x:c r="E29" s="51" t="str">
        <x:v>Status</x:v>
      </x:c>
      <x:c r="F29" s="51" t="str">
        <x:v>% of Breach</x:v>
      </x:c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  <x:row r="30">
      <x:c r="A30" s="20" t="str">
        <x:v>BP Utilization</x:v>
      </x:c>
      <x:c r="B30" s="116" t="n">
        <x:f>B15</x:f>
        <x:v>0.5714285714285714</x:v>
      </x:c>
      <x:c r="C30" s="66" t="n">
        <x:v>0.65</x:v>
      </x:c>
      <x:c r="D30" s="66" t="n">
        <x:v>0.8</x:v>
      </x:c>
      <x:c r="E30" s="20" t="str">
        <x:f>IF(B30&gt;=D30,"BREACH",IF(B30&gt;=C30,"WARN","OK"))</x:f>
        <x:v>OK</x:v>
      </x:c>
      <x:c r="F30" s="116" t="n">
        <x:f>IFERROR(B30/D30,0)</x:f>
        <x:v>0.7142857142857142</x:v>
      </x:c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</x:row>
    <x:row r="31">
      <x:c r="A31" s="20" t="str">
        <x:v>BetaAdj $Delta / Equity</x:v>
      </x:c>
      <x:c r="B31" s="130" t="n">
        <x:f>E5</x:f>
        <x:v>0.172915</x:v>
      </x:c>
      <x:c r="C31" s="134" t="n">
        <x:v>1.5</x:v>
      </x:c>
      <x:c r="D31" s="134" t="n">
        <x:v>2.5</x:v>
      </x:c>
      <x:c r="E31" s="20" t="str">
        <x:f>IF(B31&gt;=D31,"BREACH",IF(B31&gt;=C31,"WARN","OK"))</x:f>
        <x:v>OK</x:v>
      </x:c>
      <x:c r="F31" s="116" t="n">
        <x:f>IFERROR(B31/D31,0)</x:f>
        <x:v>0.069166</x:v>
      </x:c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</x:row>
    <x:row r="32">
      <x:c r="A32" s="20" t="str">
        <x:v>Vega / Equity</x:v>
      </x:c>
      <x:c r="B32" s="116" t="n">
        <x:f>E6</x:f>
        <x:v>0.00123</x:v>
      </x:c>
      <x:c r="C32" s="66" t="n">
        <x:v>0.01</x:v>
      </x:c>
      <x:c r="D32" s="66" t="n">
        <x:v>0.02</x:v>
      </x:c>
      <x:c r="E32" s="20" t="str">
        <x:f>IF(B32&gt;=D32,"BREACH",IF(B32&gt;=C32,"WARN","OK"))</x:f>
        <x:v>OK</x:v>
      </x:c>
      <x:c r="F32" s="116" t="n">
        <x:f>IFERROR(B32/D32,0)</x:f>
        <x:v>0.0615</x:v>
      </x:c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</x:row>
    <x:row r="33">
      <x:c r="A33" s="20" t="str">
        <x:v>Theta / Equity / day</x:v>
      </x:c>
      <x:c r="B33" s="116" t="n">
        <x:f>E7</x:f>
        <x:v>0.00006800000000000001</x:v>
      </x:c>
      <x:c r="C33" s="66" t="n">
        <x:v>0.001</x:v>
      </x:c>
      <x:c r="D33" s="66" t="n">
        <x:v>0.002</x:v>
      </x:c>
      <x:c r="E33" s="20" t="str">
        <x:f>IF(B33&gt;=D33,"BREACH",IF(B33&gt;=C33,"WARN","OK"))</x:f>
        <x:v>OK</x:v>
      </x:c>
      <x:c r="F33" s="116" t="n">
        <x:f>IFERROR(B33/D33,0)</x:f>
        <x:v>0.034</x:v>
      </x:c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</x:row>
    <x:row r="34">
      <x:c r="A34" s="20" t="str">
        <x:v>Largest Factor Share</x:v>
      </x:c>
      <x:c r="B34" s="116" t="n">
        <x:f>E8</x:f>
        <x:v>0.2751159196290572</x:v>
      </x:c>
      <x:c r="C34" s="66" t="n">
        <x:v>0.3</x:v>
      </x:c>
      <x:c r="D34" s="66" t="n">
        <x:v>0.4</x:v>
      </x:c>
      <x:c r="E34" s="20" t="str">
        <x:f>IF(B34&gt;=D34,"BREACH",IF(B34&gt;=C34,"WARN","OK"))</x:f>
        <x:v>OK</x:v>
      </x:c>
      <x:c r="F34" s="116" t="n">
        <x:f>IFERROR(B34/D34,0)</x:f>
        <x:v>0.6877897990726429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</x:row>
    <x:row r="35">
      <x:c r="A35" s="20" t="str">
        <x:v>Open Positions</x:v>
      </x:c>
      <x:c r="B35" s="82" t="n">
        <x:f>B6</x:f>
        <x:v>10</x:v>
      </x:c>
      <x:c r="C35" s="136" t="n">
        <x:v>15</x:v>
      </x:c>
      <x:c r="D35" s="136" t="n">
        <x:v>25</x:v>
      </x:c>
      <x:c r="E35" s="20" t="str">
        <x:f>IF(B35&gt;=D35,"BREACH",IF(B35&gt;=C35,"WARN","OK"))</x:f>
        <x:v>OK</x:v>
      </x:c>
      <x:c r="F35" s="116" t="n">
        <x:f>IFERROR(B35/D35,0)</x:f>
        <x:v>0.4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</x:row>
    <x:row r="36">
      <x:c r="A36" s="20" t="str">
        <x:v>Gamma / Equity</x:v>
      </x:c>
      <x:c r="B36" s="116" t="n">
        <x:f>ABS(B12)/B5</x:f>
        <x:v>0.00018821785</x:v>
      </x:c>
      <x:c r="C36" s="66" t="n">
        <x:v>0.005</x:v>
      </x:c>
      <x:c r="D36" s="66" t="n">
        <x:v>0.01</x:v>
      </x:c>
      <x:c r="E36" s="20" t="str">
        <x:f>IF(B36&gt;=D36,"BREACH",IF(B36&gt;=C36,"WARN","OK"))</x:f>
        <x:v>OK</x:v>
      </x:c>
      <x:c r="F36" s="116" t="n">
        <x:f>IFERROR(B36/D36,0)</x:f>
        <x:v>0.018821785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</x:row>
    <x:row r="39">
      <x:c r="A39" s="14" t="str">
        <x:v>VOLATILITY TARGETING</x:v>
      </x:c>
      <x:c r="B39" s="14"/>
      <x:c r="C39" s="14"/>
      <x:c r="D39" s="14" t="str">
        <x:v>HEDGE PLANNER</x:v>
      </x:c>
      <x:c r="E39" s="14"/>
      <x:c r="F39" s="14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</x:row>
    <x:row r="40">
      <x:c r="A40" s="20" t="str">
        <x:v>Current SPY IV</x:v>
      </x:c>
      <x:c r="B40" s="116" t="n">
        <x:f>CONFIG!B8</x:f>
        <x:v>0.18</x:v>
      </x:c>
      <x:c r="C40" s="2"/>
      <x:c r="D40" s="20" t="str">
        <x:v>Hedge %</x:v>
      </x:c>
      <x:c r="E40" s="116" t="n">
        <x:f>CONFIG!B15</x:f>
        <x:v>0.5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</x:row>
    <x:row r="41">
      <x:c r="A41" s="20" t="str">
        <x:v>Target BP Utilization</x:v>
      </x:c>
      <x:c r="B41" s="116" t="n">
        <x:f>MIN(CONFIG!B13,MAX(CONFIG!B12,CONFIG!B10*(CONFIG!B9/CONFIG!B8)^CONFIG!B11))</x:f>
        <x:v>0.45</x:v>
      </x:c>
      <x:c r="C41" s="2"/>
      <x:c r="D41" s="20" t="str">
        <x:v>BetaAdj $Delta to Hedge</x:v>
      </x:c>
      <x:c r="E41" s="80" t="n">
        <x:f>-B8*E40</x:f>
        <x:v>-8645.75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</x:row>
    <x:row r="42">
      <x:c r="A42" s="20" t="str">
        <x:v>Current BP Utilization</x:v>
      </x:c>
      <x:c r="B42" s="116" t="n">
        <x:f>B15</x:f>
        <x:v>0.5714285714285714</x:v>
      </x:c>
      <x:c r="C42" s="2"/>
      <x:c r="D42" s="20" t="str">
        <x:v>SPY Price</x:v>
      </x:c>
      <x:c r="E42" s="80" t="n">
        <x:f>CONFIG!B16</x:f>
        <x:v>550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</x:row>
    <x:row r="43">
      <x:c r="A43" s="20" t="str">
        <x:v>Target BP Used</x:v>
      </x:c>
      <x:c r="B43" s="80" t="n">
        <x:f>B41*CONFIG!B6</x:f>
        <x:v>63000</x:v>
      </x:c>
      <x:c r="C43" s="2"/>
      <x:c r="D43" s="20" t="str">
        <x:v>Equivalent SPY Shares</x:v>
      </x:c>
      <x:c r="E43" s="82" t="n">
        <x:f>E41/E42</x:f>
        <x:v>-15.719545454545454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</x:row>
    <x:row r="44">
      <x:c r="A44" s="20" t="str">
        <x:v>Current BP Used</x:v>
      </x:c>
      <x:c r="B44" s="80" t="n">
        <x:f>CONFIG!B6-CONFIG!B7</x:f>
        <x:v>80000</x:v>
      </x:c>
      <x:c r="C44" s="2"/>
      <x:c r="D44" s="20" t="str">
        <x:v>Approx. 100-Delta Contracts</x:v>
      </x:c>
      <x:c r="E44" s="82" t="n">
        <x:f>ROUND(E43/100,0)</x:f>
        <x:v>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</x:row>
    <x:row r="45">
      <x:c r="A45" s="20" t="str">
        <x:v>BP Adjustment</x:v>
      </x:c>
      <x:c r="B45" s="80" t="n">
        <x:f>B43-B44</x:f>
        <x:v>-17000</x:v>
      </x:c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</x:row>
    <x:row r="46">
      <x:c r="A46" s="20" t="str">
        <x:v>Premium Scale</x:v>
      </x:c>
      <x:c r="B46" s="138" t="n">
        <x:f>IFERROR(CONFIG!B14/B14,0)</x:f>
        <x:v>0.7634818864807457</x:v>
      </x:c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</x:row>
    <x:row r="47">
      <x:c r="A47" s="20" t="str">
        <x:v>Target Premium</x:v>
      </x:c>
      <x:c r="B47" s="80" t="n">
        <x:f>B13*B46</x:f>
        <x:v>4939.727805530424</x:v>
      </x:c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</x:row>
    <x:row r="48">
      <x:c r="A48" s="20" t="str">
        <x:v>Premium Adjustment</x:v>
      </x:c>
      <x:c r="B48" s="80" t="n">
        <x:f>B47-B13</x:f>
        <x:v>-1530.2721944695759</x:v>
      </x:c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</x:row>
  </x:sheetData>
  <x:mergeCells>
    <x:mergeCell ref="A1:R2"/>
    <x:mergeCell ref="A4:B4"/>
    <x:mergeCell ref="D4:F4"/>
    <x:mergeCell ref="A17:H17"/>
    <x:mergeCell ref="A28:F28"/>
    <x:mergeCell ref="A39:D39"/>
    <x:mergeCell ref="D39:F39"/>
    <x:mergeCell ref="J4:R4"/>
  </x:mergeCells>
  <x:conditionalFormatting sqref="E30:E36">
    <x:cfRule type="expression" dxfId="13" priority="1">
      <x:formula>E30="BREACH"</x:formula>
    </x:cfRule>
    <x:cfRule type="expression" dxfId="14" priority="2">
      <x:formula>E30="WARN"</x:formula>
    </x:cfRule>
    <x:cfRule type="expression" dxfId="15" priority="3">
      <x:formula>E30="OK"</x:formula>
    </x:cfRule>
  </x:conditionalFormatting>
  <x:conditionalFormatting sqref="K6:O10">
    <x:cfRule type="colorScale" priority="4">
      <x:colorScale>
        <x:cfvo type="min"/>
        <x:cfvo type="percentile" val="50"/>
        <x:cfvo type="max"/>
        <x:color rgb="FF7F1D1D"/>
        <x:color rgb="FF1F2937"/>
        <x:color rgb="FF14532D"/>
      </x:colorScale>
    </x:cfRule>
  </x:conditionalFormatting>
  <x:pageMargins left="0.7" right="0.7" top="0.75" bottom="0.75" header="0.3" footer="0.3"/>
  <x:drawing xmlns:r="http://schemas.openxmlformats.org/officeDocument/2006/relationships" r:id="R1f1d5aac44f94f4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6" hidden="0" customWidth="1"/>
    <x:col min="3" max="3" width="24" hidden="0" customWidth="1"/>
    <x:col min="4" max="4" width="4" hidden="0" customWidth="1"/>
    <x:col min="5" max="5" width="20" hidden="0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>
      <x:c r="A1" s="5" t="str">
        <x:v>SCENARIO LAB — PRICE × TIME × VOLATILITY SHOCK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14" t="str">
        <x:v>SCENARIO INPUTS</x:v>
      </x:c>
      <x:c r="B4" s="14"/>
      <x:c r="C4" s="2"/>
      <x:c r="D4" s="2"/>
      <x:c r="E4" s="14" t="str">
        <x:v>SELECTED POSITION</x:v>
      </x:c>
      <x:c r="F4" s="14"/>
      <x:c r="G4" s="14"/>
      <x:c r="H4" s="2"/>
      <x:c r="I4" s="2"/>
      <x:c r="J4" s="2"/>
      <x:c r="K4" s="2"/>
      <x:c r="L4" s="2"/>
    </x:row>
    <x:row r="5">
      <x:c r="A5" s="20" t="str">
        <x:v>Trade ID</x:v>
      </x:c>
      <x:c r="B5" s="57" t="n">
        <x:v>1</x:v>
      </x:c>
      <x:c r="C5" s="61" t="str">
        <x:v>Choose 1–10</x:v>
      </x:c>
      <x:c r="D5" s="2"/>
      <x:c r="E5" s="20" t="str">
        <x:v>Ticker</x:v>
      </x:c>
      <x:c r="F5" s="20" t="str">
        <x:f>XLOOKUP($B$5,Positional_Analysis!$A$5:$A$14,Positional_Analysis!$B$5:$B$14)</x:f>
        <x:v>NVDA</x:v>
      </x:c>
      <x:c r="G5" s="2"/>
      <x:c r="H5" s="2"/>
      <x:c r="I5" s="2"/>
      <x:c r="J5" s="2"/>
      <x:c r="K5" s="2"/>
      <x:c r="L5" s="2"/>
    </x:row>
    <x:row r="6">
      <x:c r="A6" s="20" t="str">
        <x:v>Underlying Move %</x:v>
      </x:c>
      <x:c r="B6" s="66" t="n">
        <x:v>0.05</x:v>
      </x:c>
      <x:c r="C6" s="61" t="str">
        <x:v>Scenario price shock</x:v>
      </x:c>
      <x:c r="D6" s="2"/>
      <x:c r="E6" s="20" t="str">
        <x:v>Current Spot</x:v>
      </x:c>
      <x:c r="F6" s="80" t="n">
        <x:f>XLOOKUP($B$5,Positional_Analysis!$A$5:$A$14,Positional_Analysis!$M$5:$M$14)</x:f>
        <x:v>185</x:v>
      </x:c>
      <x:c r="G6" s="2"/>
      <x:c r="H6" s="2"/>
      <x:c r="I6" s="2"/>
      <x:c r="J6" s="2"/>
      <x:c r="K6" s="2"/>
      <x:c r="L6" s="2"/>
    </x:row>
    <x:row r="7">
      <x:c r="A7" s="20" t="str">
        <x:v>Days Forward</x:v>
      </x:c>
      <x:c r="B7" s="57" t="n">
        <x:v>10</x:v>
      </x:c>
      <x:c r="C7" s="61" t="str">
        <x:v>Theta carry horizon</x:v>
      </x:c>
      <x:c r="D7" s="2"/>
      <x:c r="E7" s="20" t="str">
        <x:v>Current Value</x:v>
      </x:c>
      <x:c r="F7" s="80" t="n">
        <x:f>XLOOKUP($B$5,Positional_Analysis!$A$5:$A$14,Positional_Analysis!$J$5:$J$14)</x:f>
        <x:v>770</x:v>
      </x:c>
      <x:c r="G7" s="2"/>
      <x:c r="H7" s="2"/>
      <x:c r="I7" s="2"/>
      <x:c r="J7" s="2"/>
      <x:c r="K7" s="2"/>
      <x:c r="L7" s="2"/>
    </x:row>
    <x:row r="8">
      <x:c r="A8" s="20" t="str">
        <x:v>IV Shift (points)</x:v>
      </x:c>
      <x:c r="B8" s="57" t="n">
        <x:v>5</x:v>
      </x:c>
      <x:c r="C8" s="61" t="str">
        <x:v>Absolute vol-point shift</x:v>
      </x:c>
      <x:c r="D8" s="2"/>
      <x:c r="E8" s="20" t="str">
        <x:v>$Delta</x:v>
      </x:c>
      <x:c r="F8" s="80" t="n">
        <x:f>XLOOKUP($B$5,Positional_Analysis!$A$5:$A$14,Positional_Analysis!$T$5:$T$14)</x:f>
        <x:v>30</x:v>
      </x:c>
      <x:c r="G8" s="2"/>
      <x:c r="H8" s="2"/>
      <x:c r="I8" s="2"/>
      <x:c r="J8" s="2"/>
      <x:c r="K8" s="2"/>
      <x:c r="L8" s="2"/>
    </x:row>
    <x:row r="9">
      <x:c r="A9" s="2"/>
      <x:c r="B9" s="2"/>
      <x:c r="C9" s="2"/>
      <x:c r="D9" s="2"/>
      <x:c r="E9" s="20" t="str">
        <x:v>Theta / day</x:v>
      </x:c>
      <x:c r="F9" s="80" t="n">
        <x:f>XLOOKUP($B$5,Positional_Analysis!$A$5:$A$14,Positional_Analysis!$W$5:$W$14)</x:f>
        <x:v>9435</x:v>
      </x:c>
      <x:c r="G9" s="2"/>
      <x:c r="H9" s="2"/>
      <x:c r="I9" s="2"/>
      <x:c r="J9" s="2"/>
      <x:c r="K9" s="2"/>
      <x:c r="L9" s="2"/>
    </x:row>
    <x:row r="10">
      <x:c r="A10" s="2"/>
      <x:c r="B10" s="2"/>
      <x:c r="C10" s="2"/>
      <x:c r="D10" s="2"/>
      <x:c r="E10" s="20" t="str">
        <x:v>Vega / pt</x:v>
      </x:c>
      <x:c r="F10" s="80" t="n">
        <x:f>XLOOKUP($B$5,Positional_Analysis!$A$5:$A$14,Positional_Analysis!$X$5:$X$14)</x:f>
        <x:v>-1.2999999999999998</x:v>
      </x:c>
      <x:c r="G10" s="2"/>
      <x:c r="H10" s="2"/>
      <x:c r="I10" s="2"/>
      <x:c r="J10" s="2"/>
      <x:c r="K10" s="2"/>
      <x:c r="L10" s="2"/>
    </x:row>
    <x:row r="11">
      <x:c r="A11" s="2"/>
      <x:c r="B11" s="2"/>
      <x:c r="C11" s="2"/>
      <x:c r="D11" s="2"/>
      <x:c r="E11" s="20" t="str">
        <x:v>Gamma / 1%</x:v>
      </x:c>
      <x:c r="F11" s="80" t="n">
        <x:f>XLOOKUP($B$5,Positional_Analysis!$A$5:$A$14,Positional_Analysis!$Y$5:$Y$14)</x:f>
        <x:v>4</x:v>
      </x:c>
      <x:c r="G11" s="2"/>
      <x:c r="H11" s="2"/>
      <x:c r="I11" s="2"/>
      <x:c r="J11" s="2"/>
      <x:c r="K11" s="2"/>
      <x:c r="L11" s="2"/>
    </x:row>
    <x:row r="12">
      <x:c r="A12" s="14" t="str">
        <x:v>SENSITIVITY GRID — ESTIMATED P&amp;L ($)</x:v>
      </x:c>
      <x:c r="B12" s="14"/>
      <x:c r="C12" s="14"/>
      <x:c r="D12" s="14"/>
      <x:c r="E12" s="14" t="str">
        <x:v>Scenario P&amp;L</x:v>
      </x:c>
      <x:c r="F12" s="144" t="n">
        <x:f>B6*F8+F11*(B6/0.01)^2+B7*F9+B8*F10</x:f>
        <x:v>94445</x:v>
      </x:c>
      <x:c r="G12" s="14"/>
      <x:c r="H12" s="14"/>
      <x:c r="I12" s="2"/>
      <x:c r="J12" s="2"/>
      <x:c r="K12" s="2"/>
      <x:c r="L12" s="2"/>
    </x:row>
    <x:row r="13">
      <x:c r="A13" s="51" t="str">
        <x:v>Price Move / IV</x:v>
      </x:c>
      <x:c r="B13" s="51" t="n">
        <x:v>-10</x:v>
      </x:c>
      <x:c r="C13" s="51" t="n">
        <x:v>-5</x:v>
      </x:c>
      <x:c r="D13" s="51" t="n">
        <x:v>0</x:v>
      </x:c>
      <x:c r="E13" s="51" t="n">
        <x:v>5</x:v>
      </x:c>
      <x:c r="F13" s="154" t="n">
        <x:v>10</x:v>
      </x:c>
      <x:c r="G13" s="2"/>
      <x:c r="H13" s="2"/>
      <x:c r="I13" s="2"/>
      <x:c r="J13" s="2"/>
      <x:c r="K13" s="2"/>
      <x:c r="L13" s="2"/>
    </x:row>
    <x:row r="14">
      <x:c r="A14" s="140" t="n">
        <x:v>-0.15</x:v>
      </x:c>
      <x:c r="B14" s="80" t="n">
        <x:f>$F$8*$A14+$F$11*($A14/0.01)^2+$B$7*$F$9+B$13*$F$10</x:f>
        <x:v>95258.5</x:v>
      </x:c>
      <x:c r="C14" s="80" t="n">
        <x:f>$F$8*$A14+$F$11*($A14/0.01)^2+$B$7*$F$9+C$13*$F$10</x:f>
        <x:v>95252</x:v>
      </x:c>
      <x:c r="D14" s="80" t="n">
        <x:f>$F$8*$A14+$F$11*($A14/0.01)^2+$B$7*$F$9+D$13*$F$10</x:f>
        <x:v>95245.5</x:v>
      </x:c>
      <x:c r="E14" s="80" t="n">
        <x:f>$F$8*$A14+$F$11*($A14/0.01)^2+$B$7*$F$9+E$13*$F$10</x:f>
        <x:v>95239</x:v>
      </x:c>
      <x:c r="F14" s="80" t="n">
        <x:f>$F$8*$A14+$F$11*($A14/0.01)^2+$B$7*$F$9+F$13*$F$10</x:f>
        <x:v>95232.5</x:v>
      </x:c>
      <x:c r="G14" s="2"/>
      <x:c r="H14" s="2"/>
      <x:c r="I14" s="2"/>
      <x:c r="J14" s="2"/>
      <x:c r="K14" s="2"/>
      <x:c r="L14" s="2"/>
    </x:row>
    <x:row r="15">
      <x:c r="A15" s="140" t="n">
        <x:v>-0.1</x:v>
      </x:c>
      <x:c r="B15" s="80" t="n">
        <x:f>$F$8*$A15+$F$11*($A15/0.01)^2+$B$7*$F$9+B$13*$F$10</x:f>
        <x:v>94760</x:v>
      </x:c>
      <x:c r="C15" s="80" t="n">
        <x:f>$F$8*$A15+$F$11*($A15/0.01)^2+$B$7*$F$9+C$13*$F$10</x:f>
        <x:v>94753.5</x:v>
      </x:c>
      <x:c r="D15" s="80" t="n">
        <x:f>$F$8*$A15+$F$11*($A15/0.01)^2+$B$7*$F$9+D$13*$F$10</x:f>
        <x:v>94747</x:v>
      </x:c>
      <x:c r="E15" s="80" t="n">
        <x:f>$F$8*$A15+$F$11*($A15/0.01)^2+$B$7*$F$9+E$13*$F$10</x:f>
        <x:v>94740.5</x:v>
      </x:c>
      <x:c r="F15" s="80" t="n">
        <x:f>$F$8*$A15+$F$11*($A15/0.01)^2+$B$7*$F$9+F$13*$F$10</x:f>
        <x:v>94734</x:v>
      </x:c>
      <x:c r="G15" s="2"/>
      <x:c r="H15" s="2"/>
      <x:c r="I15" s="2"/>
      <x:c r="J15" s="2"/>
      <x:c r="K15" s="2"/>
      <x:c r="L15" s="2"/>
    </x:row>
    <x:row r="16">
      <x:c r="A16" s="140" t="n">
        <x:v>-0.05</x:v>
      </x:c>
      <x:c r="B16" s="80" t="n">
        <x:f>$F$8*$A16+$F$11*($A16/0.01)^2+$B$7*$F$9+B$13*$F$10</x:f>
        <x:v>94461.5</x:v>
      </x:c>
      <x:c r="C16" s="80" t="n">
        <x:f>$F$8*$A16+$F$11*($A16/0.01)^2+$B$7*$F$9+C$13*$F$10</x:f>
        <x:v>94455</x:v>
      </x:c>
      <x:c r="D16" s="80" t="n">
        <x:f>$F$8*$A16+$F$11*($A16/0.01)^2+$B$7*$F$9+D$13*$F$10</x:f>
        <x:v>94448.5</x:v>
      </x:c>
      <x:c r="E16" s="80" t="n">
        <x:f>$F$8*$A16+$F$11*($A16/0.01)^2+$B$7*$F$9+E$13*$F$10</x:f>
        <x:v>94442</x:v>
      </x:c>
      <x:c r="F16" s="80" t="n">
        <x:f>$F$8*$A16+$F$11*($A16/0.01)^2+$B$7*$F$9+F$13*$F$10</x:f>
        <x:v>94435.5</x:v>
      </x:c>
      <x:c r="G16" s="2"/>
      <x:c r="H16" s="2"/>
      <x:c r="I16" s="2"/>
      <x:c r="J16" s="2"/>
      <x:c r="K16" s="2"/>
      <x:c r="L16" s="2"/>
    </x:row>
    <x:row r="17">
      <x:c r="A17" s="140" t="n">
        <x:v>0</x:v>
      </x:c>
      <x:c r="B17" s="80" t="n">
        <x:f>$F$8*$A17+$F$11*($A17/0.01)^2+$B$7*$F$9+B$13*$F$10</x:f>
        <x:v>94363</x:v>
      </x:c>
      <x:c r="C17" s="80" t="n">
        <x:f>$F$8*$A17+$F$11*($A17/0.01)^2+$B$7*$F$9+C$13*$F$10</x:f>
        <x:v>94356.5</x:v>
      </x:c>
      <x:c r="D17" s="80" t="n">
        <x:f>$F$8*$A17+$F$11*($A17/0.01)^2+$B$7*$F$9+D$13*$F$10</x:f>
        <x:v>94350</x:v>
      </x:c>
      <x:c r="E17" s="80" t="n">
        <x:f>$F$8*$A17+$F$11*($A17/0.01)^2+$B$7*$F$9+E$13*$F$10</x:f>
        <x:v>94343.5</x:v>
      </x:c>
      <x:c r="F17" s="80" t="n">
        <x:f>$F$8*$A17+$F$11*($A17/0.01)^2+$B$7*$F$9+F$13*$F$10</x:f>
        <x:v>94337</x:v>
      </x:c>
      <x:c r="G17" s="2"/>
      <x:c r="H17" s="2"/>
      <x:c r="I17" s="2"/>
      <x:c r="J17" s="2"/>
      <x:c r="K17" s="2"/>
      <x:c r="L17" s="2"/>
    </x:row>
    <x:row r="18">
      <x:c r="A18" s="140" t="n">
        <x:v>0.05</x:v>
      </x:c>
      <x:c r="B18" s="80" t="n">
        <x:f>$F$8*$A18+$F$11*($A18/0.01)^2+$B$7*$F$9+B$13*$F$10</x:f>
        <x:v>94464.5</x:v>
      </x:c>
      <x:c r="C18" s="80" t="n">
        <x:f>$F$8*$A18+$F$11*($A18/0.01)^2+$B$7*$F$9+C$13*$F$10</x:f>
        <x:v>94458</x:v>
      </x:c>
      <x:c r="D18" s="80" t="n">
        <x:f>$F$8*$A18+$F$11*($A18/0.01)^2+$B$7*$F$9+D$13*$F$10</x:f>
        <x:v>94451.5</x:v>
      </x:c>
      <x:c r="E18" s="80" t="n">
        <x:f>$F$8*$A18+$F$11*($A18/0.01)^2+$B$7*$F$9+E$13*$F$10</x:f>
        <x:v>94445</x:v>
      </x:c>
      <x:c r="F18" s="80" t="n">
        <x:f>$F$8*$A18+$F$11*($A18/0.01)^2+$B$7*$F$9+F$13*$F$10</x:f>
        <x:v>94438.5</x:v>
      </x:c>
      <x:c r="G18" s="2"/>
      <x:c r="H18" s="2"/>
      <x:c r="I18" s="2"/>
      <x:c r="J18" s="2"/>
      <x:c r="K18" s="2"/>
      <x:c r="L18" s="2"/>
    </x:row>
    <x:row r="19">
      <x:c r="A19" s="140" t="n">
        <x:v>0.1</x:v>
      </x:c>
      <x:c r="B19" s="80" t="n">
        <x:f>$F$8*$A19+$F$11*($A19/0.01)^2+$B$7*$F$9+B$13*$F$10</x:f>
        <x:v>94766</x:v>
      </x:c>
      <x:c r="C19" s="80" t="n">
        <x:f>$F$8*$A19+$F$11*($A19/0.01)^2+$B$7*$F$9+C$13*$F$10</x:f>
        <x:v>94759.5</x:v>
      </x:c>
      <x:c r="D19" s="80" t="n">
        <x:f>$F$8*$A19+$F$11*($A19/0.01)^2+$B$7*$F$9+D$13*$F$10</x:f>
        <x:v>94753</x:v>
      </x:c>
      <x:c r="E19" s="80" t="n">
        <x:f>$F$8*$A19+$F$11*($A19/0.01)^2+$B$7*$F$9+E$13*$F$10</x:f>
        <x:v>94746.5</x:v>
      </x:c>
      <x:c r="F19" s="80" t="n">
        <x:f>$F$8*$A19+$F$11*($A19/0.01)^2+$B$7*$F$9+F$13*$F$10</x:f>
        <x:v>94740</x:v>
      </x:c>
      <x:c r="G19" s="2"/>
      <x:c r="H19" s="2"/>
      <x:c r="I19" s="2"/>
      <x:c r="J19" s="2"/>
      <x:c r="K19" s="2"/>
      <x:c r="L19" s="2"/>
    </x:row>
    <x:row r="20">
      <x:c r="A20" s="140" t="n">
        <x:v>0.15</x:v>
      </x:c>
      <x:c r="B20" s="80" t="n">
        <x:f>$F$8*$A20+$F$11*($A20/0.01)^2+$B$7*$F$9+B$13*$F$10</x:f>
        <x:v>95267.5</x:v>
      </x:c>
      <x:c r="C20" s="80" t="n">
        <x:f>$F$8*$A20+$F$11*($A20/0.01)^2+$B$7*$F$9+C$13*$F$10</x:f>
        <x:v>95261</x:v>
      </x:c>
      <x:c r="D20" s="80" t="n">
        <x:f>$F$8*$A20+$F$11*($A20/0.01)^2+$B$7*$F$9+D$13*$F$10</x:f>
        <x:v>95254.5</x:v>
      </x:c>
      <x:c r="E20" s="80" t="n">
        <x:f>$F$8*$A20+$F$11*($A20/0.01)^2+$B$7*$F$9+E$13*$F$10</x:f>
        <x:v>95248</x:v>
      </x:c>
      <x:c r="F20" s="80" t="n">
        <x:f>$F$8*$A20+$F$11*($A20/0.01)^2+$B$7*$F$9+F$13*$F$10</x:f>
        <x:v>95241.5</x:v>
      </x:c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164" t="str">
        <x:v>Method: this public demo uses a transparent Greek approximation (delta + gamma + theta + vega). The private model also contains a full per-leg Black-Scholes repricer; the public approximation is intentionally easier for a reviewer to audit without licensed data dependencies.</x:v>
      </x:c>
      <x:c r="B23" s="164"/>
      <x:c r="C23" s="164"/>
      <x:c r="D23" s="164"/>
      <x:c r="E23" s="164"/>
      <x:c r="F23" s="164"/>
      <x:c r="G23" s="164"/>
      <x:c r="H23" s="164"/>
      <x:c r="I23" s="164"/>
      <x:c r="J23" s="164"/>
      <x:c r="K23" s="164"/>
      <x:c r="L23" s="164"/>
    </x:row>
    <x:row r="24">
      <x:c r="A24" s="164"/>
      <x:c r="B24" s="164"/>
      <x:c r="C24" s="164"/>
      <x:c r="D24" s="164"/>
      <x:c r="E24" s="164"/>
      <x:c r="F24" s="164"/>
      <x:c r="G24" s="164"/>
      <x:c r="H24" s="164"/>
      <x:c r="I24" s="164"/>
      <x:c r="J24" s="164"/>
      <x:c r="K24" s="164"/>
      <x:c r="L24" s="164"/>
    </x:row>
    <x:row r="25">
      <x:c r="A25" s="164"/>
      <x:c r="B25" s="164"/>
      <x:c r="C25" s="164"/>
      <x:c r="D25" s="164"/>
      <x:c r="E25" s="164"/>
      <x:c r="F25" s="164"/>
      <x:c r="G25" s="164"/>
      <x:c r="H25" s="164"/>
      <x:c r="I25" s="164"/>
      <x:c r="J25" s="164"/>
      <x:c r="K25" s="164"/>
      <x:c r="L25" s="164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</x:sheetData>
  <x:mergeCells>
    <x:mergeCell ref="A1:L2"/>
    <x:mergeCell ref="A4:B4"/>
    <x:mergeCell ref="E4:G4"/>
    <x:mergeCell ref="A12:H12"/>
    <x:mergeCell ref="A23:L25"/>
  </x:mergeCells>
  <x:conditionalFormatting sqref="B14:F20">
    <x:cfRule type="colorScale" priority="1">
      <x:colorScale>
        <x:cfvo type="min"/>
        <x:cfvo type="percentile" val="50"/>
        <x:cfvo type="max"/>
        <x:color rgb="FF7F1D1D"/>
        <x:color rgb="FF1F2937"/>
        <x:color rgb="FF14532D"/>
      </x:colorScale>
    </x:cfRule>
  </x:conditionalFormatting>
  <x:pageMargins left="0.7" right="0.7" top="0.75" bottom="0.75" header="0.3" footer="0.3"/>
</x:worksheet>
</file>